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name="BOM_Gears" sheetId="1" state="visible" r:id="rId1"/>
    <sheet name="GearTypes" sheetId="2" state="visible" r:id="rId2"/>
    <sheet name="GearPairings" sheetId="3" state="visible" r:id="rId3"/>
    <sheet name="Materials" sheetId="4" state="visible" r:id="rId4"/>
    <sheet name="ChangeLog" sheetId="5" state="visible" r:id="rId5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\₹#,##0.00"/>
    <numFmt numFmtId="166" formatCode="#,##0.0"/>
  </numFmts>
  <fonts count="13">
    <font>
      <name val="Calibri"/>
      <charset val="1"/>
      <family val="2"/>
      <color theme="1"/>
      <sz val="11"/>
    </font>
    <font>
      <name val="Arial"/>
      <charset val="1"/>
      <b val="1"/>
      <color rgb="FFFFFFFF"/>
      <sz val="15"/>
    </font>
    <font>
      <name val="Arial"/>
      <charset val="1"/>
      <color rgb="FF1B4F72"/>
      <sz val="9"/>
    </font>
    <font>
      <name val="Arial"/>
      <charset val="1"/>
      <i val="1"/>
      <color rgb="FF7D6608"/>
      <sz val="8"/>
    </font>
    <font>
      <name val="Arial"/>
      <charset val="1"/>
      <b val="1"/>
      <color rgb="FFFFFFFF"/>
      <sz val="9"/>
    </font>
    <font>
      <name val="Arial"/>
      <charset val="1"/>
      <color rgb="FF000000"/>
      <sz val="9"/>
    </font>
    <font>
      <name val="Arial"/>
      <charset val="1"/>
      <b val="1"/>
      <color rgb="FF000000"/>
      <sz val="9"/>
    </font>
    <font>
      <name val="Arial"/>
      <charset val="1"/>
      <b val="1"/>
      <color rgb="FF1A5276"/>
      <sz val="9"/>
    </font>
    <font>
      <name val="Arial"/>
      <charset val="1"/>
      <i val="1"/>
      <color rgb="FF555555"/>
      <sz val="9"/>
    </font>
    <font>
      <name val="Arial"/>
      <charset val="1"/>
      <b val="1"/>
      <i val="1"/>
      <color rgb="FF555555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FFFFFF"/>
      <sz val="13"/>
    </font>
    <font>
      <name val="Segoe UI"/>
      <b val="1"/>
      <color rgb="00F0B429"/>
    </font>
  </fonts>
  <fills count="13">
    <fill>
      <patternFill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D6EAF8"/>
        <bgColor rgb="FFD1F2EB"/>
      </patternFill>
    </fill>
    <fill>
      <patternFill patternType="solid">
        <fgColor rgb="FFFFF9C4"/>
        <bgColor rgb="FFFAE5D3"/>
      </patternFill>
    </fill>
    <fill>
      <patternFill patternType="solid">
        <fgColor rgb="FF1B4F72"/>
        <bgColor rgb="FF1A5276"/>
      </patternFill>
    </fill>
    <fill>
      <patternFill patternType="solid">
        <fgColor rgb="FFD5F5E3"/>
        <bgColor rgb="FFD1F2EB"/>
      </patternFill>
    </fill>
    <fill>
      <patternFill patternType="solid">
        <fgColor rgb="FFFAE5D3"/>
        <bgColor rgb="FFEEEEEE"/>
      </patternFill>
    </fill>
    <fill>
      <patternFill patternType="solid">
        <fgColor rgb="FFE8DAEF"/>
        <bgColor rgb="FFEEEEEE"/>
      </patternFill>
    </fill>
    <fill>
      <patternFill patternType="solid">
        <fgColor rgb="FFD1F2EB"/>
        <bgColor rgb="FFD5F5E3"/>
      </patternFill>
    </fill>
    <fill>
      <patternFill patternType="solid">
        <fgColor rgb="FFEEEEEE"/>
        <bgColor rgb="FFF4F6F7"/>
      </patternFill>
    </fill>
    <fill>
      <patternFill patternType="solid">
        <fgColor rgb="FFF4F6F7"/>
        <bgColor rgb="FFEEEEEE"/>
      </patternFill>
    </fill>
    <fill>
      <patternFill patternType="solid">
        <fgColor rgb="FFFFFFFF"/>
        <bgColor rgb="FFF4F6F7"/>
      </patternFill>
    </fill>
  </fills>
  <borders count="3">
    <border>
      <left/>
      <right/>
      <top/>
      <bottom/>
      <diagonal/>
    </border>
    <border>
      <left style="medium">
        <color rgb="FF1B4F72"/>
      </left>
      <right style="medium">
        <color rgb="FF1B4F72"/>
      </right>
      <top style="medium">
        <color rgb="FF1B4F72"/>
      </top>
      <bottom style="medium">
        <color rgb="FF1B4F72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164" fontId="7" fillId="6" borderId="2" applyAlignment="1" pivotButton="0" quotePrefix="0" xfId="0">
      <alignment horizontal="center" vertical="center" wrapText="1"/>
    </xf>
    <xf numFmtId="165" fontId="7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164" fontId="7" fillId="3" borderId="2" applyAlignment="1" pivotButton="0" quotePrefix="0" xfId="0">
      <alignment horizontal="center" vertical="center" wrapText="1"/>
    </xf>
    <xf numFmtId="165" fontId="7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164" fontId="7" fillId="7" borderId="2" applyAlignment="1" pivotButton="0" quotePrefix="0" xfId="0">
      <alignment horizontal="center" vertical="center" wrapText="1"/>
    </xf>
    <xf numFmtId="165" fontId="7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164" fontId="7" fillId="4" borderId="2" applyAlignment="1" pivotButton="0" quotePrefix="0" xfId="0">
      <alignment horizontal="center" vertical="center" wrapText="1"/>
    </xf>
    <xf numFmtId="165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164" fontId="7" fillId="8" borderId="2" applyAlignment="1" pivotButton="0" quotePrefix="0" xfId="0">
      <alignment horizontal="center" vertical="center" wrapText="1"/>
    </xf>
    <xf numFmtId="165" fontId="7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164" fontId="7" fillId="9" borderId="2" applyAlignment="1" pivotButton="0" quotePrefix="0" xfId="0">
      <alignment horizontal="center" vertical="center" wrapText="1"/>
    </xf>
    <xf numFmtId="165" fontId="7" fillId="9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left" vertical="center" wrapText="1"/>
    </xf>
    <xf numFmtId="164" fontId="7" fillId="10" borderId="2" applyAlignment="1" pivotButton="0" quotePrefix="0" xfId="0">
      <alignment horizontal="center" vertical="center" wrapText="1"/>
    </xf>
    <xf numFmtId="165" fontId="7" fillId="10" borderId="2" applyAlignment="1" pivotButton="0" quotePrefix="0" xfId="0">
      <alignment horizontal="center" vertical="center" wrapText="1"/>
    </xf>
    <xf numFmtId="164" fontId="10" fillId="2" borderId="1" applyAlignment="1" pivotButton="0" quotePrefix="0" xfId="0">
      <alignment horizontal="center" vertical="center"/>
    </xf>
    <xf numFmtId="165" fontId="10" fillId="2" borderId="1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2" fontId="5" fillId="11" borderId="2" applyAlignment="1" pivotButton="0" quotePrefix="0" xfId="0">
      <alignment horizontal="center" vertical="center" wrapText="1"/>
    </xf>
    <xf numFmtId="166" fontId="5" fillId="11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2" fontId="5" fillId="12" borderId="2" applyAlignment="1" pivotButton="0" quotePrefix="0" xfId="0">
      <alignment horizontal="center" vertical="center" wrapText="1"/>
    </xf>
    <xf numFmtId="166" fontId="5" fillId="12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0" fontId="6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F4F6F7"/>
      <rgbColor rgb="FF808080"/>
      <rgbColor rgb="FF9999FF"/>
      <rgbColor rgb="FF993366"/>
      <rgbColor rgb="FFFFF9C4"/>
      <rgbColor rgb="FFD1F2EB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EEEEEE"/>
      <rgbColor rgb="FF99CCFF"/>
      <rgbColor rgb="FFFF99CC"/>
      <rgbColor rgb="FFCC99FF"/>
      <rgbColor rgb="FFFAE5D3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B4F72"/>
      <rgbColor rgb="FF339966"/>
      <rgbColor rgb="FF0D1B2A"/>
      <rgbColor rgb="FF333300"/>
      <rgbColor rgb="FF993300"/>
      <rgbColor rgb="FF993366"/>
      <rgbColor rgb="FF1A52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showGridLines="0" tabSelected="1" zoomScaleNormal="100" workbookViewId="0">
      <pane ySplit="3" topLeftCell="A4" activePane="bottomLeft" state="frozen"/>
      <selection pane="bottomLeft" activeCell="F5" sqref="F5"/>
    </sheetView>
  </sheetViews>
  <sheetFormatPr baseColWidth="8" defaultColWidth="8.6640625" defaultRowHeight="14.4"/>
  <cols>
    <col width="4" customWidth="1" style="62" min="1" max="1"/>
    <col width="20" customWidth="1" style="62" min="2" max="2"/>
    <col width="18" customWidth="1" style="62" min="3" max="3"/>
    <col width="14" customWidth="1" style="62" min="4" max="4"/>
    <col width="9" customWidth="1" style="62" min="5" max="8"/>
    <col width="7" customWidth="1" style="62" min="9" max="9"/>
    <col width="10" customWidth="1" style="62" min="10" max="10"/>
    <col width="8" customWidth="1" style="62" min="11" max="11"/>
    <col width="28" customWidth="1" style="62" min="12" max="12"/>
    <col width="10" customWidth="1" style="62" min="13" max="13"/>
    <col width="12" customWidth="1" style="62" min="14" max="14"/>
    <col width="30" customWidth="1" style="62" min="15" max="15"/>
  </cols>
  <sheetData>
    <row r="1" ht="31.5" customHeight="1" s="62">
      <c r="A1" s="61" t="inlineStr">
        <is>
          <t>SIRAAL 3D GEAR ENGINE — GEAR BILL OF MATERIALS</t>
        </is>
      </c>
    </row>
    <row r="2" ht="18" customHeight="1" s="62">
      <c r="A2" s="64" t="inlineStr">
        <is>
          <t>IS 2535 / ISO 1328  |  Involute 20°  |  1st Angle  |  TN-IMPACT 2026</t>
        </is>
      </c>
      <c r="I2" s="63" t="inlineStr">
        <is>
          <t>P1 = Teeth Z (or N_starts for Worm)  |  P2 = Module m (mm)  |  P3 = Face Width (mm)  |  P4 = Bore Dia (mm) or Ring Thk</t>
        </is>
      </c>
    </row>
    <row r="3" ht="27.75" customHeight="1" s="62">
      <c r="A3" s="1" t="inlineStr">
        <is>
          <t>#</t>
        </is>
      </c>
      <c r="B3" s="1" t="inlineStr">
        <is>
          <t>Part_Number</t>
        </is>
      </c>
      <c r="C3" s="1" t="inlineStr">
        <is>
          <t>Part_Type</t>
        </is>
      </c>
      <c r="D3" s="1" t="inlineStr">
        <is>
          <t>Material</t>
        </is>
      </c>
      <c r="E3" s="1" t="inlineStr">
        <is>
          <t>Param_1
(Z / Starts)</t>
        </is>
      </c>
      <c r="F3" s="1" t="inlineStr">
        <is>
          <t>Param_2
(Module m)</t>
        </is>
      </c>
      <c r="G3" s="1" t="inlineStr">
        <is>
          <t>Param_3
(Face Width)</t>
        </is>
      </c>
      <c r="H3" s="1" t="inlineStr">
        <is>
          <t>Param_4
(Bore Dia)</t>
        </is>
      </c>
      <c r="I3" s="1" t="inlineStr">
        <is>
          <t>Qty</t>
        </is>
      </c>
      <c r="J3" s="1" t="inlineStr">
        <is>
          <t>Priority</t>
        </is>
      </c>
      <c r="K3" s="1" t="inlineStr">
        <is>
          <t>Enabled</t>
        </is>
      </c>
      <c r="L3" s="1" t="inlineStr">
        <is>
          <t>Description</t>
        </is>
      </c>
      <c r="M3" s="1" t="inlineStr">
        <is>
          <t>Mass_kg</t>
        </is>
      </c>
      <c r="N3" s="1" t="inlineStr">
        <is>
          <t>Est_Cost
(Rs)</t>
        </is>
      </c>
      <c r="O3" s="1" t="inlineStr">
        <is>
          <t>Notes</t>
        </is>
      </c>
    </row>
    <row r="4" ht="18" customHeight="1" s="62">
      <c r="A4" s="2" t="n">
        <v>1</v>
      </c>
      <c r="B4" s="3" t="inlineStr">
        <is>
          <t>GR-SP-001-PINION</t>
        </is>
      </c>
      <c r="C4" s="2" t="inlineStr">
        <is>
          <t>Spur_Gear_3D</t>
        </is>
      </c>
      <c r="D4" s="2" t="inlineStr">
        <is>
          <t>Al-6061</t>
        </is>
      </c>
      <c r="E4" s="2" t="n">
        <v>18</v>
      </c>
      <c r="F4" s="2" t="n">
        <v>3</v>
      </c>
      <c r="G4" s="2" t="n">
        <v>50</v>
      </c>
      <c r="H4" s="2" t="n">
        <v>20</v>
      </c>
      <c r="I4" s="2" t="n">
        <v>2</v>
      </c>
      <c r="J4" s="2" t="inlineStr">
        <is>
          <t>High</t>
        </is>
      </c>
      <c r="K4" s="2" t="inlineStr">
        <is>
          <t>YES</t>
        </is>
      </c>
      <c r="L4" s="4" t="inlineStr">
        <is>
          <t>Spur pinion Z=18 m=3 FW=50mm (Al-6061)</t>
        </is>
      </c>
      <c r="M4" s="5">
        <f>ROUND(PI()*((E4*F4/2+F4)^2-(H4/2)^2)*G4*0.00000270,3)</f>
        <v/>
      </c>
      <c r="N4" s="6">
        <f>ROUND(M4*265.0,2)</f>
        <v/>
      </c>
      <c r="O4" s="7" t="inlineStr">
        <is>
          <t>Ground hobbed; AGMA Q10; keyway 6×3.5. Material changed from Steel-4140 to Al-6061: reduced weight, lower strength, potentially lower cost.</t>
        </is>
      </c>
    </row>
    <row r="5" ht="18" customHeight="1" s="62">
      <c r="A5" s="2" t="n">
        <v>2</v>
      </c>
      <c r="B5" s="3" t="inlineStr">
        <is>
          <t>GR-SP-002-WHEEL</t>
        </is>
      </c>
      <c r="C5" s="2" t="inlineStr">
        <is>
          <t>Spur_Gear_3D</t>
        </is>
      </c>
      <c r="D5" s="2" t="inlineStr">
        <is>
          <t>Al-6061</t>
        </is>
      </c>
      <c r="E5" s="2" t="n">
        <v>54</v>
      </c>
      <c r="F5" s="2" t="n">
        <v>4</v>
      </c>
      <c r="G5" s="2" t="n">
        <v>50</v>
      </c>
      <c r="H5" s="2" t="n">
        <v>40</v>
      </c>
      <c r="I5" s="2" t="n">
        <v>1</v>
      </c>
      <c r="J5" s="2" t="inlineStr">
        <is>
          <t>High</t>
        </is>
      </c>
      <c r="K5" s="2" t="inlineStr">
        <is>
          <t>YES</t>
        </is>
      </c>
      <c r="L5" s="4" t="inlineStr">
        <is>
          <t>Spur wheel Z=54 m=4 FW=50mm (Al-6061)</t>
        </is>
      </c>
      <c r="M5" s="5">
        <f>ROUND(PI()*((E5*F5/2+F5)^2-(H5/2)^2)*G5*0.00000270,3)</f>
        <v/>
      </c>
      <c r="N5" s="6">
        <f>ROUND(M5*265.0,2)</f>
        <v/>
      </c>
      <c r="O5" s="7" t="inlineStr">
        <is>
          <t>Hobbed; bore H7; check tip clearance. Material changed from Steel-1020 to Al-6061: reduced weight, lower strength, potentially lower cost.</t>
        </is>
      </c>
    </row>
    <row r="6" ht="18" customHeight="1" s="62">
      <c r="A6" s="2" t="n">
        <v>3</v>
      </c>
      <c r="B6" s="3" t="inlineStr">
        <is>
          <t>GR-SP-003-IDLER</t>
        </is>
      </c>
      <c r="C6" s="2" t="inlineStr">
        <is>
          <t>Spur_Gear_3D</t>
        </is>
      </c>
      <c r="D6" s="2" t="inlineStr">
        <is>
          <t>Al-6061</t>
        </is>
      </c>
      <c r="E6" s="2" t="n">
        <v>24</v>
      </c>
      <c r="F6" s="2" t="n">
        <v>2</v>
      </c>
      <c r="G6" s="2" t="n">
        <v>40</v>
      </c>
      <c r="H6" s="2" t="n">
        <v>18</v>
      </c>
      <c r="I6" s="2" t="n">
        <v>4</v>
      </c>
      <c r="J6" s="2" t="inlineStr">
        <is>
          <t>Medium</t>
        </is>
      </c>
      <c r="K6" s="2" t="inlineStr">
        <is>
          <t>YES</t>
        </is>
      </c>
      <c r="L6" s="4" t="inlineStr">
        <is>
          <t>Idler gear Z=24 m=2 FW=40mm (Al-6061)</t>
        </is>
      </c>
      <c r="M6" s="5">
        <f>ROUND(PI()*((E6*F6/2+F6)^2-(H6/2)^2)*G6*0.00000270,3)</f>
        <v/>
      </c>
      <c r="N6" s="6">
        <f>ROUND(M6*265.0,2)</f>
        <v/>
      </c>
      <c r="O6" s="7" t="inlineStr">
        <is>
          <t>Anodised; PTFE-coated bore</t>
        </is>
      </c>
    </row>
    <row r="7" ht="18" customHeight="1" s="62">
      <c r="A7" s="2" t="n">
        <v>4</v>
      </c>
      <c r="B7" s="3" t="inlineStr">
        <is>
          <t>GR-SP-004-STAGE2</t>
        </is>
      </c>
      <c r="C7" s="2" t="inlineStr">
        <is>
          <t>Spur_Gear_3D</t>
        </is>
      </c>
      <c r="D7" s="2" t="inlineStr">
        <is>
          <t>Al-6061</t>
        </is>
      </c>
      <c r="E7" s="2" t="n">
        <v>36</v>
      </c>
      <c r="F7" s="2" t="n">
        <v>4</v>
      </c>
      <c r="G7" s="2" t="n">
        <v>60</v>
      </c>
      <c r="H7" s="2" t="n">
        <v>30</v>
      </c>
      <c r="I7" s="2" t="n">
        <v>2</v>
      </c>
      <c r="J7" s="2" t="inlineStr">
        <is>
          <t>High</t>
        </is>
      </c>
      <c r="K7" s="2" t="inlineStr">
        <is>
          <t>YES</t>
        </is>
      </c>
      <c r="L7" s="4" t="inlineStr">
        <is>
          <t>Stage-2 spur Z=36 m=4 FW=60mm (Al-6061)</t>
        </is>
      </c>
      <c r="M7" s="5">
        <f>ROUND(PI()*((E7*F7/2+F7)^2-(H7/2)^2)*G7*0.00000270,3)</f>
        <v/>
      </c>
      <c r="N7" s="6">
        <f>ROUND(M7*265.0,2)</f>
        <v/>
      </c>
      <c r="O7" s="7" t="inlineStr">
        <is>
          <t>Profile shift x=+0.2; no undercut. Material changed from Steel-4140 to Al-6061: reduced weight, lower strength, potentially lower cost.</t>
        </is>
      </c>
    </row>
    <row r="8" ht="18" customHeight="1" s="62">
      <c r="A8" s="2" t="n">
        <v>5</v>
      </c>
      <c r="B8" s="3" t="inlineStr">
        <is>
          <t>GR-SP-005-SMALL</t>
        </is>
      </c>
      <c r="C8" s="2" t="inlineStr">
        <is>
          <t>Spur_Gear_3D</t>
        </is>
      </c>
      <c r="D8" s="2" t="inlineStr">
        <is>
          <t>Al-6061</t>
        </is>
      </c>
      <c r="E8" s="2" t="n">
        <v>12</v>
      </c>
      <c r="F8" s="2" t="n">
        <v>1.5</v>
      </c>
      <c r="G8" s="2" t="n">
        <v>35</v>
      </c>
      <c r="H8" s="2" t="n">
        <v>10</v>
      </c>
      <c r="I8" s="2" t="n">
        <v>6</v>
      </c>
      <c r="J8" s="2" t="inlineStr">
        <is>
          <t>Low</t>
        </is>
      </c>
      <c r="K8" s="2" t="inlineStr">
        <is>
          <t>YES</t>
        </is>
      </c>
      <c r="L8" s="4" t="inlineStr">
        <is>
          <t>Small spur Z=12 m=1.5 FW=35mm (Al-6061)</t>
        </is>
      </c>
      <c r="M8" s="5">
        <f>ROUND(PI()*((E8*F8/2+F8)^2-(H8/2)^2)*G8*0.00000270,3)</f>
        <v/>
      </c>
      <c r="N8" s="6">
        <f>ROUND(M8*265.0,2)</f>
        <v/>
      </c>
      <c r="O8" s="7" t="inlineStr">
        <is>
          <t>WARN Z&lt;17: profile shift required. Material changed from Steel-1020 to Al-6061: reduced weight, lower strength, potentially lower cost.</t>
        </is>
      </c>
    </row>
    <row r="9" ht="18" customHeight="1" s="62">
      <c r="A9" s="8" t="n">
        <v>6</v>
      </c>
      <c r="B9" s="9" t="inlineStr">
        <is>
          <t>GR-HL-001-DRIVE</t>
        </is>
      </c>
      <c r="C9" s="8" t="inlineStr">
        <is>
          <t>Helical_Gear</t>
        </is>
      </c>
      <c r="D9" s="8" t="inlineStr">
        <is>
          <t>Steel-4140</t>
        </is>
      </c>
      <c r="E9" s="8" t="n">
        <v>20</v>
      </c>
      <c r="F9" s="8" t="n">
        <v>3</v>
      </c>
      <c r="G9" s="8" t="n">
        <v>45</v>
      </c>
      <c r="H9" s="8" t="n">
        <v>22</v>
      </c>
      <c r="I9" s="8" t="n">
        <v>1</v>
      </c>
      <c r="J9" s="8" t="inlineStr">
        <is>
          <t>High</t>
        </is>
      </c>
      <c r="K9" s="8" t="inlineStr">
        <is>
          <t>YES</t>
        </is>
      </c>
      <c r="L9" s="10" t="inlineStr">
        <is>
          <t>Helical drive Z=20 m=3 helix=15°RH</t>
        </is>
      </c>
      <c r="M9" s="11">
        <f>ROUND(PI()*((E9*F9/2+F9)^2-(H9/2)^2)*G9*0.00000785,3)</f>
        <v/>
      </c>
      <c r="N9" s="12">
        <f>ROUND(M9*185.0,2)</f>
        <v/>
      </c>
      <c r="O9" s="13" t="inlineStr">
        <is>
          <t>Thrust bearing req; RH helix</t>
        </is>
      </c>
    </row>
    <row r="10" ht="18" customHeight="1" s="62">
      <c r="A10" s="8" t="n">
        <v>7</v>
      </c>
      <c r="B10" s="9" t="inlineStr">
        <is>
          <t>GR-HL-002-DRIVEN</t>
        </is>
      </c>
      <c r="C10" s="8" t="inlineStr">
        <is>
          <t>Helical_Gear</t>
        </is>
      </c>
      <c r="D10" s="8" t="inlineStr">
        <is>
          <t>Steel-4140</t>
        </is>
      </c>
      <c r="E10" s="8" t="n">
        <v>60</v>
      </c>
      <c r="F10" s="8" t="n">
        <v>3</v>
      </c>
      <c r="G10" s="8" t="n">
        <v>45</v>
      </c>
      <c r="H10" s="8" t="n">
        <v>35</v>
      </c>
      <c r="I10" s="8" t="n">
        <v>1</v>
      </c>
      <c r="J10" s="8" t="inlineStr">
        <is>
          <t>High</t>
        </is>
      </c>
      <c r="K10" s="8" t="inlineStr">
        <is>
          <t>YES</t>
        </is>
      </c>
      <c r="L10" s="10" t="inlineStr">
        <is>
          <t>Helical driven Z=60 m=3 ratio=1:3 LH</t>
        </is>
      </c>
      <c r="M10" s="11">
        <f>ROUND(PI()*((E10*F10/2+F10)^2-(H10/2)^2)*G10*0.00000785,3)</f>
        <v/>
      </c>
      <c r="N10" s="12">
        <f>ROUND(M10*185.0,2)</f>
        <v/>
      </c>
      <c r="O10" s="13" t="inlineStr">
        <is>
          <t>LH helix balances thrust with GR-HL-001</t>
        </is>
      </c>
    </row>
    <row r="11" ht="18" customHeight="1" s="62">
      <c r="A11" s="8" t="n">
        <v>8</v>
      </c>
      <c r="B11" s="9" t="inlineStr">
        <is>
          <t>GR-HL-003-STAGE2</t>
        </is>
      </c>
      <c r="C11" s="8" t="inlineStr">
        <is>
          <t>Helical_Gear</t>
        </is>
      </c>
      <c r="D11" s="8" t="inlineStr">
        <is>
          <t>Steel-1020</t>
        </is>
      </c>
      <c r="E11" s="8" t="n">
        <v>28</v>
      </c>
      <c r="F11" s="8" t="n">
        <v>2.5</v>
      </c>
      <c r="G11" s="8" t="n">
        <v>35</v>
      </c>
      <c r="H11" s="8" t="n">
        <v>25</v>
      </c>
      <c r="I11" s="8" t="n">
        <v>2</v>
      </c>
      <c r="J11" s="8" t="inlineStr">
        <is>
          <t>Medium</t>
        </is>
      </c>
      <c r="K11" s="8" t="inlineStr">
        <is>
          <t>YES</t>
        </is>
      </c>
      <c r="L11" s="10" t="inlineStr">
        <is>
          <t>Helical stage-2 Z=28 m=2.5</t>
        </is>
      </c>
      <c r="M11" s="11">
        <f>ROUND(PI()*((E11*F11/2+F11)^2-(H11/2)^2)*G11*0.00000787,3)</f>
        <v/>
      </c>
      <c r="N11" s="12">
        <f>ROUND(M11*125.0,2)</f>
        <v/>
      </c>
      <c r="O11" s="13" t="inlineStr">
        <is>
          <t>AGMA Q9 precision; oil jet lube</t>
        </is>
      </c>
    </row>
    <row r="12" ht="18" customHeight="1" s="62">
      <c r="A12" s="8" t="n">
        <v>9</v>
      </c>
      <c r="B12" s="9" t="inlineStr">
        <is>
          <t>GR-HL-004-LIGHT</t>
        </is>
      </c>
      <c r="C12" s="8" t="inlineStr">
        <is>
          <t>Helical_Gear</t>
        </is>
      </c>
      <c r="D12" s="8" t="inlineStr">
        <is>
          <t>Al-6061</t>
        </is>
      </c>
      <c r="E12" s="8" t="n">
        <v>24</v>
      </c>
      <c r="F12" s="8" t="n">
        <v>2</v>
      </c>
      <c r="G12" s="8" t="n">
        <v>30</v>
      </c>
      <c r="H12" s="8" t="n">
        <v>20</v>
      </c>
      <c r="I12" s="8" t="n">
        <v>2</v>
      </c>
      <c r="J12" s="8" t="inlineStr">
        <is>
          <t>Low</t>
        </is>
      </c>
      <c r="K12" s="8" t="inlineStr">
        <is>
          <t>YES</t>
        </is>
      </c>
      <c r="L12" s="10" t="inlineStr">
        <is>
          <t>Helical aluminium Z=24 m=2</t>
        </is>
      </c>
      <c r="M12" s="11">
        <f>ROUND(PI()*((E12*F12/2+F12)^2-(H12/2)^2)*G12*0.00000270,3)</f>
        <v/>
      </c>
      <c r="N12" s="12">
        <f>ROUND(M12*265.0,2)</f>
        <v/>
      </c>
      <c r="O12" s="13" t="inlineStr">
        <is>
          <t>Oil mist lube; lightweight stage</t>
        </is>
      </c>
    </row>
    <row r="13" ht="18" customHeight="1" s="62">
      <c r="A13" s="14" t="n">
        <v>10</v>
      </c>
      <c r="B13" s="15" t="inlineStr">
        <is>
          <t>GR-RG-001-PLANET</t>
        </is>
      </c>
      <c r="C13" s="14" t="inlineStr">
        <is>
          <t>Ring_Gear_3D</t>
        </is>
      </c>
      <c r="D13" s="14" t="inlineStr">
        <is>
          <t>Steel-4140</t>
        </is>
      </c>
      <c r="E13" s="14" t="n">
        <v>72</v>
      </c>
      <c r="F13" s="14" t="n">
        <v>3</v>
      </c>
      <c r="G13" s="14" t="n">
        <v>30</v>
      </c>
      <c r="H13" s="14" t="n">
        <v>18</v>
      </c>
      <c r="I13" s="14" t="n">
        <v>1</v>
      </c>
      <c r="J13" s="14" t="inlineStr">
        <is>
          <t>High</t>
        </is>
      </c>
      <c r="K13" s="14" t="inlineStr">
        <is>
          <t>YES</t>
        </is>
      </c>
      <c r="L13" s="16" t="inlineStr">
        <is>
          <t>Planetary ring Z=72 m=3 thk=18mm</t>
        </is>
      </c>
      <c r="M13" s="17">
        <f>ROUND(PI()*((E13*F13/2+F13)^2-(H13/2)^2)*G13*0.00000785,3)</f>
        <v/>
      </c>
      <c r="N13" s="18">
        <f>ROUND(M13*185.0,2)</f>
        <v/>
      </c>
      <c r="O13" s="19" t="inlineStr">
        <is>
          <t>Internal teeth; case-hardened 58HRC</t>
        </is>
      </c>
    </row>
    <row r="14" ht="18" customHeight="1" s="62">
      <c r="A14" s="14" t="n">
        <v>11</v>
      </c>
      <c r="B14" s="15" t="inlineStr">
        <is>
          <t>GR-RG-002-DIFF</t>
        </is>
      </c>
      <c r="C14" s="14" t="inlineStr">
        <is>
          <t>Ring_Gear_3D</t>
        </is>
      </c>
      <c r="D14" s="14" t="inlineStr">
        <is>
          <t>Steel-4140</t>
        </is>
      </c>
      <c r="E14" s="14" t="n">
        <v>48</v>
      </c>
      <c r="F14" s="14" t="n">
        <v>4</v>
      </c>
      <c r="G14" s="14" t="n">
        <v>40</v>
      </c>
      <c r="H14" s="14" t="n">
        <v>20</v>
      </c>
      <c r="I14" s="14" t="n">
        <v>2</v>
      </c>
      <c r="J14" s="14" t="inlineStr">
        <is>
          <t>High</t>
        </is>
      </c>
      <c r="K14" s="14" t="inlineStr">
        <is>
          <t>YES</t>
        </is>
      </c>
      <c r="L14" s="16" t="inlineStr">
        <is>
          <t>Differential ring Z=48 m=4 thk=20mm</t>
        </is>
      </c>
      <c r="M14" s="17">
        <f>ROUND(PI()*((E14*F14/2+F14)^2-(H14/2)^2)*G14*0.00000785,3)</f>
        <v/>
      </c>
      <c r="N14" s="18">
        <f>ROUND(M14*185.0,2)</f>
        <v/>
      </c>
      <c r="O14" s="19" t="inlineStr">
        <is>
          <t>Spiral bevel differential ring</t>
        </is>
      </c>
    </row>
    <row r="15" ht="18" customHeight="1" s="62">
      <c r="A15" s="14" t="n">
        <v>12</v>
      </c>
      <c r="B15" s="15" t="inlineStr">
        <is>
          <t>GR-RG-003-STAGE</t>
        </is>
      </c>
      <c r="C15" s="14" t="inlineStr">
        <is>
          <t>Ring_Gear_3D</t>
        </is>
      </c>
      <c r="D15" s="14" t="inlineStr">
        <is>
          <t>Steel-1020</t>
        </is>
      </c>
      <c r="E15" s="14" t="n">
        <v>60</v>
      </c>
      <c r="F15" s="14" t="n">
        <v>2.5</v>
      </c>
      <c r="G15" s="14" t="n">
        <v>25</v>
      </c>
      <c r="H15" s="14" t="n">
        <v>15</v>
      </c>
      <c r="I15" s="14" t="n">
        <v>1</v>
      </c>
      <c r="J15" s="14" t="inlineStr">
        <is>
          <t>Medium</t>
        </is>
      </c>
      <c r="K15" s="14" t="inlineStr">
        <is>
          <t>YES</t>
        </is>
      </c>
      <c r="L15" s="16" t="inlineStr">
        <is>
          <t>Epicyclic ring Z=60 m=2.5 thk=15mm</t>
        </is>
      </c>
      <c r="M15" s="17">
        <f>ROUND(PI()*((E15*F15/2+F15)^2-(H15/2)^2)*G15*0.00000787,3)</f>
        <v/>
      </c>
      <c r="N15" s="18">
        <f>ROUND(M15*125.0,2)</f>
        <v/>
      </c>
      <c r="O15" s="19" t="inlineStr">
        <is>
          <t>IS 2535 Grade 7</t>
        </is>
      </c>
    </row>
    <row r="16" ht="18" customHeight="1" s="62">
      <c r="A16" s="20" t="n">
        <v>13</v>
      </c>
      <c r="B16" s="21" t="inlineStr">
        <is>
          <t>GR-BV-001-MITER</t>
        </is>
      </c>
      <c r="C16" s="20" t="inlineStr">
        <is>
          <t>Bevel_Gear</t>
        </is>
      </c>
      <c r="D16" s="20" t="inlineStr">
        <is>
          <t>Steel-4140</t>
        </is>
      </c>
      <c r="E16" s="20" t="n">
        <v>20</v>
      </c>
      <c r="F16" s="20" t="n">
        <v>4</v>
      </c>
      <c r="G16" s="20" t="n">
        <v>30</v>
      </c>
      <c r="H16" s="20" t="n">
        <v>22</v>
      </c>
      <c r="I16" s="20" t="n">
        <v>2</v>
      </c>
      <c r="J16" s="20" t="inlineStr">
        <is>
          <t>High</t>
        </is>
      </c>
      <c r="K16" s="20" t="inlineStr">
        <is>
          <t>YES</t>
        </is>
      </c>
      <c r="L16" s="22" t="inlineStr">
        <is>
          <t>Miter bevel Z=20 m=4 cone=45°</t>
        </is>
      </c>
      <c r="M16" s="23">
        <f>ROUND(PI()*((E16*F16/2+F16)^2-(H16/2)^2)*G16*0.00000785,3)</f>
        <v/>
      </c>
      <c r="N16" s="24">
        <f>ROUND(M16*185.0,2)</f>
        <v/>
      </c>
      <c r="O16" s="25" t="inlineStr">
        <is>
          <t>Matched pair; lapped to pattern</t>
        </is>
      </c>
    </row>
    <row r="17" ht="18" customHeight="1" s="62">
      <c r="A17" s="20" t="n">
        <v>14</v>
      </c>
      <c r="B17" s="21" t="inlineStr">
        <is>
          <t>GR-BV-002-SPIRAL</t>
        </is>
      </c>
      <c r="C17" s="20" t="inlineStr">
        <is>
          <t>Bevel_Gear</t>
        </is>
      </c>
      <c r="D17" s="20" t="inlineStr">
        <is>
          <t>Steel-4140</t>
        </is>
      </c>
      <c r="E17" s="20" t="n">
        <v>24</v>
      </c>
      <c r="F17" s="20" t="n">
        <v>3</v>
      </c>
      <c r="G17" s="20" t="n">
        <v>28</v>
      </c>
      <c r="H17" s="20" t="n">
        <v>18</v>
      </c>
      <c r="I17" s="20" t="n">
        <v>1</v>
      </c>
      <c r="J17" s="20" t="inlineStr">
        <is>
          <t>High</t>
        </is>
      </c>
      <c r="K17" s="20" t="inlineStr">
        <is>
          <t>YES</t>
        </is>
      </c>
      <c r="L17" s="22" t="inlineStr">
        <is>
          <t>Spiral bevel Z=24 m=3 Gleason</t>
        </is>
      </c>
      <c r="M17" s="23">
        <f>ROUND(PI()*((E17*F17/2+F17)^2-(H17/2)^2)*G17*0.00000785,3)</f>
        <v/>
      </c>
      <c r="N17" s="24">
        <f>ROUND(M17*185.0,2)</f>
        <v/>
      </c>
      <c r="O17" s="25" t="inlineStr">
        <is>
          <t>Face contact ratio&gt;2.0; Gleason system</t>
        </is>
      </c>
    </row>
    <row r="18" ht="18" customHeight="1" s="62">
      <c r="A18" s="20" t="n">
        <v>15</v>
      </c>
      <c r="B18" s="21" t="inlineStr">
        <is>
          <t>GR-BV-003-CROWN</t>
        </is>
      </c>
      <c r="C18" s="20" t="inlineStr">
        <is>
          <t>Bevel_Gear</t>
        </is>
      </c>
      <c r="D18" s="20" t="inlineStr">
        <is>
          <t>Steel-1020</t>
        </is>
      </c>
      <c r="E18" s="20" t="n">
        <v>32</v>
      </c>
      <c r="F18" s="20" t="n">
        <v>2</v>
      </c>
      <c r="G18" s="20" t="n">
        <v>20</v>
      </c>
      <c r="H18" s="20" t="n">
        <v>16</v>
      </c>
      <c r="I18" s="20" t="n">
        <v>1</v>
      </c>
      <c r="J18" s="20" t="inlineStr">
        <is>
          <t>Medium</t>
        </is>
      </c>
      <c r="K18" s="20" t="inlineStr">
        <is>
          <t>YES</t>
        </is>
      </c>
      <c r="L18" s="22" t="inlineStr">
        <is>
          <t>Crown bevel Z=32 m=2 cone=45°</t>
        </is>
      </c>
      <c r="M18" s="23">
        <f>ROUND(PI()*((E18*F18/2+F18)^2-(H18/2)^2)*G18*0.00000787,3)</f>
        <v/>
      </c>
      <c r="N18" s="24">
        <f>ROUND(M18*125.0,2)</f>
        <v/>
      </c>
      <c r="O18" s="25" t="inlineStr">
        <is>
          <t>90° axis crossing; face gear style</t>
        </is>
      </c>
    </row>
    <row r="19" ht="18" customHeight="1" s="62">
      <c r="A19" s="26" t="n">
        <v>16</v>
      </c>
      <c r="B19" s="27" t="inlineStr">
        <is>
          <t>GR-WM-001-WORM</t>
        </is>
      </c>
      <c r="C19" s="26" t="inlineStr">
        <is>
          <t>Worm</t>
        </is>
      </c>
      <c r="D19" s="26" t="inlineStr">
        <is>
          <t>Steel-4140</t>
        </is>
      </c>
      <c r="E19" s="26" t="n">
        <v>2</v>
      </c>
      <c r="F19" s="26" t="n">
        <v>4</v>
      </c>
      <c r="G19" s="26" t="n">
        <v>80</v>
      </c>
      <c r="H19" s="26" t="n">
        <v>22</v>
      </c>
      <c r="I19" s="26" t="n">
        <v>1</v>
      </c>
      <c r="J19" s="26" t="inlineStr">
        <is>
          <t>High</t>
        </is>
      </c>
      <c r="K19" s="26" t="inlineStr">
        <is>
          <t>YES</t>
        </is>
      </c>
      <c r="L19" s="28" t="inlineStr">
        <is>
          <t>Worm N_starts=2 m=4 L=80mm</t>
        </is>
      </c>
      <c r="M19" s="29">
        <f>ROUND(PI()*((E19*F19/2+F19)^2-(H19/2)^2)*G19*0.00000785,3)</f>
        <v/>
      </c>
      <c r="N19" s="30">
        <f>ROUND(M19*185.0,2)</f>
        <v/>
      </c>
      <c r="O19" s="31" t="inlineStr">
        <is>
          <t>Ground Ra0.4; phosphate coat</t>
        </is>
      </c>
    </row>
    <row r="20" ht="18" customHeight="1" s="62">
      <c r="A20" s="32" t="n">
        <v>17</v>
      </c>
      <c r="B20" s="33" t="inlineStr">
        <is>
          <t>GR-WM-001-WHEEL</t>
        </is>
      </c>
      <c r="C20" s="32" t="inlineStr">
        <is>
          <t>Worm_Wheel</t>
        </is>
      </c>
      <c r="D20" s="32" t="inlineStr">
        <is>
          <t>Brass-C360</t>
        </is>
      </c>
      <c r="E20" s="32" t="n">
        <v>30</v>
      </c>
      <c r="F20" s="32" t="n">
        <v>4</v>
      </c>
      <c r="G20" s="32" t="n">
        <v>50</v>
      </c>
      <c r="H20" s="32" t="n">
        <v>30</v>
      </c>
      <c r="I20" s="32" t="n">
        <v>1</v>
      </c>
      <c r="J20" s="32" t="inlineStr">
        <is>
          <t>High</t>
        </is>
      </c>
      <c r="K20" s="32" t="inlineStr">
        <is>
          <t>YES</t>
        </is>
      </c>
      <c r="L20" s="34" t="inlineStr">
        <is>
          <t>Worm wheel Z=30 m=4 FW=50mm</t>
        </is>
      </c>
      <c r="M20" s="35">
        <f>ROUND(PI()*((E20*F20/2+F20)^2-(H20/2)^2)*G20*0.00000850,3)</f>
        <v/>
      </c>
      <c r="N20" s="36">
        <f>ROUND(M20*520.0,2)</f>
        <v/>
      </c>
      <c r="O20" s="37" t="inlineStr">
        <is>
          <t>Bronze; hobbed; press-fit hub</t>
        </is>
      </c>
    </row>
    <row r="21" ht="18" customHeight="1" s="62">
      <c r="A21" s="26" t="n">
        <v>18</v>
      </c>
      <c r="B21" s="27" t="inlineStr">
        <is>
          <t>GR-WM-002-WORM</t>
        </is>
      </c>
      <c r="C21" s="26" t="inlineStr">
        <is>
          <t>Worm</t>
        </is>
      </c>
      <c r="D21" s="26" t="inlineStr">
        <is>
          <t>Steel-4140</t>
        </is>
      </c>
      <c r="E21" s="26" t="n">
        <v>1</v>
      </c>
      <c r="F21" s="26" t="n">
        <v>3</v>
      </c>
      <c r="G21" s="26" t="n">
        <v>60</v>
      </c>
      <c r="H21" s="26" t="n">
        <v>18</v>
      </c>
      <c r="I21" s="26" t="n">
        <v>2</v>
      </c>
      <c r="J21" s="26" t="inlineStr">
        <is>
          <t>Medium</t>
        </is>
      </c>
      <c r="K21" s="26" t="inlineStr">
        <is>
          <t>YES</t>
        </is>
      </c>
      <c r="L21" s="28" t="inlineStr">
        <is>
          <t>Worm N_starts=1 m=3 L=60mm</t>
        </is>
      </c>
      <c r="M21" s="29">
        <f>ROUND(PI()*((E21*F21/2+F21)^2-(H21/2)^2)*G21*0.00000785,3)</f>
        <v/>
      </c>
      <c r="N21" s="30">
        <f>ROUND(M21*185.0,2)</f>
        <v/>
      </c>
      <c r="O21" s="31" t="inlineStr">
        <is>
          <t>Self-locking; single start ratio=Z2</t>
        </is>
      </c>
    </row>
    <row r="22" ht="18" customHeight="1" s="62">
      <c r="A22" s="32" t="n">
        <v>19</v>
      </c>
      <c r="B22" s="33" t="inlineStr">
        <is>
          <t>GR-WM-002-WHEEL</t>
        </is>
      </c>
      <c r="C22" s="32" t="inlineStr">
        <is>
          <t>Worm_Wheel</t>
        </is>
      </c>
      <c r="D22" s="32" t="inlineStr">
        <is>
          <t>Brass-C360</t>
        </is>
      </c>
      <c r="E22" s="32" t="n">
        <v>40</v>
      </c>
      <c r="F22" s="32" t="n">
        <v>3</v>
      </c>
      <c r="G22" s="32" t="n">
        <v>40</v>
      </c>
      <c r="H22" s="32" t="n">
        <v>25</v>
      </c>
      <c r="I22" s="32" t="n">
        <v>2</v>
      </c>
      <c r="J22" s="32" t="inlineStr">
        <is>
          <t>Medium</t>
        </is>
      </c>
      <c r="K22" s="32" t="inlineStr">
        <is>
          <t>YES</t>
        </is>
      </c>
      <c r="L22" s="34" t="inlineStr">
        <is>
          <t>Worm wheel Z=40 m=3 FW=40mm</t>
        </is>
      </c>
      <c r="M22" s="35">
        <f>ROUND(PI()*((E22*F22/2+F22)^2-(H22/2)^2)*G22*0.00000850,3)</f>
        <v/>
      </c>
      <c r="N22" s="36">
        <f>ROUND(M22*520.0,2)</f>
        <v/>
      </c>
      <c r="O22" s="37" t="inlineStr">
        <is>
          <t>Sealed; lifetime lubrication</t>
        </is>
      </c>
    </row>
    <row r="23" ht="18" customHeight="1" s="62">
      <c r="A23" s="2" t="n">
        <v>20</v>
      </c>
      <c r="B23" s="3" t="inlineStr">
        <is>
          <t>GR-WARN-001</t>
        </is>
      </c>
      <c r="C23" s="2" t="inlineStr">
        <is>
          <t>Spur_Gear_3D</t>
        </is>
      </c>
      <c r="D23" s="2" t="inlineStr">
        <is>
          <t>Al-6061</t>
        </is>
      </c>
      <c r="E23" s="2" t="n">
        <v>8</v>
      </c>
      <c r="F23" s="2" t="n">
        <v>1</v>
      </c>
      <c r="G23" s="2" t="n">
        <v>30</v>
      </c>
      <c r="H23" s="2" t="n">
        <v>5</v>
      </c>
      <c r="I23" s="2" t="n">
        <v>1</v>
      </c>
      <c r="J23" s="2" t="inlineStr">
        <is>
          <t>Low</t>
        </is>
      </c>
      <c r="K23" s="2" t="inlineStr">
        <is>
          <t>YES</t>
        </is>
      </c>
      <c r="L23" s="4" t="inlineStr">
        <is>
          <t>WARN: Z=8 undercut — profile shift req; bore_d=5mm; FW=30mm (Al-6061)</t>
        </is>
      </c>
      <c r="M23" s="5">
        <f>ROUND(PI()*((E23*F23/2+F23)^2-(H23/2)^2)*G23*0.00000270,3)</f>
        <v/>
      </c>
      <c r="N23" s="6">
        <f>ROUND(M23*265.0,2)</f>
        <v/>
      </c>
      <c r="O23" s="7" t="inlineStr">
        <is>
          <t>Validator should flag undercut (Z&lt;17). Material changed from Steel-1020 to Al-6061: reduced weight, lower strength, potentially lower cost.</t>
        </is>
      </c>
    </row>
    <row r="24" ht="18" customHeight="1" s="62">
      <c r="A24" s="38" t="n">
        <v>21</v>
      </c>
      <c r="B24" s="39" t="inlineStr">
        <is>
          <t>GR-SKIP-001</t>
        </is>
      </c>
      <c r="C24" s="38" t="inlineStr">
        <is>
          <t>Spur_Gear_3D</t>
        </is>
      </c>
      <c r="D24" s="38" t="inlineStr">
        <is>
          <t>Al-6061</t>
        </is>
      </c>
      <c r="E24" s="38" t="n">
        <v>20</v>
      </c>
      <c r="F24" s="38" t="n">
        <v>2</v>
      </c>
      <c r="G24" s="38" t="n">
        <v>45</v>
      </c>
      <c r="H24" s="38" t="n">
        <v>16</v>
      </c>
      <c r="I24" s="38" t="n">
        <v>1</v>
      </c>
      <c r="J24" s="38" t="inlineStr">
        <is>
          <t>Low</t>
        </is>
      </c>
      <c r="K24" s="38" t="inlineStr">
        <is>
          <t>NO</t>
        </is>
      </c>
      <c r="L24" s="40" t="inlineStr">
        <is>
          <t>SKIP TEST: Enabled=NO — not generated; FW=45mm (Al-6061)</t>
        </is>
      </c>
      <c r="M24" s="41">
        <f>ROUND(PI()*((E24*F24/2+F24)^2-(H24/2)^2)*G24*0.00000270,3)</f>
        <v/>
      </c>
      <c r="N24" s="42">
        <f>ROUND(M24*265.0,2)</f>
        <v/>
      </c>
      <c r="O24" s="40" t="inlineStr">
        <is>
          <t>Verify engine skips this row. Material changed from Steel-1020 to Al-6061: reduced weight, lower strength, potentially lower cost.</t>
        </is>
      </c>
    </row>
    <row r="25" ht="21.75" customHeight="1" s="62">
      <c r="A25" s="67" t="inlineStr">
        <is>
          <t>TOTALS (all enabled):</t>
        </is>
      </c>
      <c r="M25">
        <f>SUMIF(K4:K24,"YES",M4:M24)</f>
        <v/>
      </c>
      <c r="N25">
        <f>SUMIF(K4:K24,"YES",N4:N24)</f>
        <v/>
      </c>
    </row>
  </sheetData>
  <mergeCells count="4">
    <mergeCell ref="A1:O1"/>
    <mergeCell ref="I2:O2"/>
    <mergeCell ref="A2:H2"/>
    <mergeCell ref="A25:D25"/>
  </mergeCells>
  <dataValidations count="4">
    <dataValidation sqref="C4:C24" showDropDown="0" showInputMessage="0" showErrorMessage="0" allowBlank="0" type="list">
      <formula1>"Spur_Gear_3D,Helical_Gear,Ring_Gear_3D,Bevel_Gear,Worm,Worm_Wheel"</formula1>
      <formula2>0</formula2>
    </dataValidation>
    <dataValidation sqref="D4:D24" showDropDown="0" showInputMessage="0" showErrorMessage="0" allowBlank="0" type="list">
      <formula1>"Steel-1020,Steel-4140,Al-6061,Brass-C360,Nylon-66"</formula1>
      <formula2>0</formula2>
    </dataValidation>
    <dataValidation sqref="J4:J24" showDropDown="0" showInputMessage="0" showErrorMessage="0" allowBlank="0" type="list">
      <formula1>"High,Medium,Low"</formula1>
      <formula2>0</formula2>
    </dataValidation>
    <dataValidation sqref="K4:K24" showDropDown="0" showInputMessage="0" showErrorMessage="0" allowBlank="0" type="list">
      <formula1>"YES,NO"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18" customWidth="1" style="62" min="1" max="1"/>
    <col width="14" customWidth="1" style="62" min="2" max="5"/>
    <col width="16" customWidth="1" style="62" min="6" max="6"/>
    <col width="28" customWidth="1" style="62" min="7" max="7"/>
    <col width="32" customWidth="1" style="62" min="8" max="8"/>
  </cols>
  <sheetData>
    <row r="1" ht="27.75" customHeight="1" s="62">
      <c r="A1" s="66" t="inlineStr">
        <is>
          <t>GEAR TYPE REFERENCE — Parameter Meanings, ISO Standards &amp; Engineering Rules</t>
        </is>
      </c>
    </row>
    <row r="2" ht="24" customHeight="1" s="62">
      <c r="A2" s="1" t="inlineStr">
        <is>
          <t>Part_Type</t>
        </is>
      </c>
      <c r="B2" s="1" t="inlineStr">
        <is>
          <t>Param_1</t>
        </is>
      </c>
      <c r="C2" s="1" t="inlineStr">
        <is>
          <t>Param_2</t>
        </is>
      </c>
      <c r="D2" s="1" t="inlineStr">
        <is>
          <t>Param_3</t>
        </is>
      </c>
      <c r="E2" s="1" t="inlineStr">
        <is>
          <t>Param_4</t>
        </is>
      </c>
      <c r="F2" s="1" t="inlineStr">
        <is>
          <t>ISO Standard</t>
        </is>
      </c>
      <c r="G2" s="1" t="inlineStr">
        <is>
          <t>3D Construction</t>
        </is>
      </c>
      <c r="H2" s="1" t="inlineStr">
        <is>
          <t>Key Engineering Rules</t>
        </is>
      </c>
    </row>
    <row r="3" ht="43.5" customHeight="1" s="62">
      <c r="A3" s="45" t="inlineStr">
        <is>
          <t>Spur_Gear_3D</t>
        </is>
      </c>
      <c r="B3" s="2" t="inlineStr">
        <is>
          <t>Teeth Z</t>
        </is>
      </c>
      <c r="C3" s="2" t="inlineStr">
        <is>
          <t>Module m (mm)</t>
        </is>
      </c>
      <c r="D3" s="2" t="inlineStr">
        <is>
          <t>FaceWidth (mm)</t>
        </is>
      </c>
      <c r="E3" s="2" t="inlineStr">
        <is>
          <t>Bore Dia (mm)</t>
        </is>
      </c>
      <c r="F3" s="4" t="inlineStr">
        <is>
          <t>IS 2535 / DIN 3960</t>
        </is>
      </c>
      <c r="G3" s="4" t="inlineStr">
        <is>
          <t>Involute profile polyline × Z teeth → AddExtrudedSolid → Boolean bore + keyway</t>
        </is>
      </c>
      <c r="H3" s="4" t="inlineStr">
        <is>
          <t>PA=20°; Z≥17 avoids undercut; addendum=m; dedendum=1.25m; keyway per DIN 6885</t>
        </is>
      </c>
    </row>
    <row r="4" ht="43.5" customHeight="1" s="62">
      <c r="A4" s="46" t="inlineStr">
        <is>
          <t>Helical_Gear</t>
        </is>
      </c>
      <c r="B4" s="8" t="inlineStr">
        <is>
          <t>Teeth Z</t>
        </is>
      </c>
      <c r="C4" s="8" t="inlineStr">
        <is>
          <t>Module m (mm)</t>
        </is>
      </c>
      <c r="D4" s="8" t="inlineStr">
        <is>
          <t>FaceWidth (mm)</t>
        </is>
      </c>
      <c r="E4" s="8" t="inlineStr">
        <is>
          <t>Bore Dia (mm)</t>
        </is>
      </c>
      <c r="F4" s="10" t="inlineStr">
        <is>
          <t>IS 3756 / DIN 3960</t>
        </is>
      </c>
      <c r="G4" s="10" t="inlineStr">
        <is>
          <t>8-slice stack: each slice rotated Δθ = FW/R_pitch×tan(helix)/8 → unioned</t>
        </is>
      </c>
      <c r="H4" s="10" t="inlineStr">
        <is>
          <t>Normal module = transverse module; helix 15°RH generates axial thrust</t>
        </is>
      </c>
    </row>
    <row r="5" ht="43.5" customHeight="1" s="62">
      <c r="A5" s="47" t="inlineStr">
        <is>
          <t>Ring_Gear_3D</t>
        </is>
      </c>
      <c r="B5" s="14" t="inlineStr">
        <is>
          <t>Teeth Z (internal)</t>
        </is>
      </c>
      <c r="C5" s="14" t="inlineStr">
        <is>
          <t>Module m (mm)</t>
        </is>
      </c>
      <c r="D5" s="14" t="inlineStr">
        <is>
          <t>FaceWidth (mm)</t>
        </is>
      </c>
      <c r="E5" s="14" t="inlineStr">
        <is>
          <t>Ring Thickness (mm)</t>
        </is>
      </c>
      <c r="F5" s="16" t="inlineStr">
        <is>
          <t>IS 2535 / ISO 6336</t>
        </is>
      </c>
      <c r="G5" s="16" t="inlineStr">
        <is>
          <t>Outer disc cylinder − internal involute void (extruded external profile subtracted)</t>
        </is>
      </c>
      <c r="H5" s="16" t="inlineStr">
        <is>
          <t>P4 = ring wall thickness (not bore); addendum on inside; planet must mesh correctly</t>
        </is>
      </c>
    </row>
    <row r="6" ht="43.5" customHeight="1" s="62">
      <c r="A6" s="48" t="inlineStr">
        <is>
          <t>Bevel_Gear</t>
        </is>
      </c>
      <c r="B6" s="20" t="inlineStr">
        <is>
          <t>Teeth Z</t>
        </is>
      </c>
      <c r="C6" s="20" t="inlineStr">
        <is>
          <t>Module m (mm)</t>
        </is>
      </c>
      <c r="D6" s="20" t="inlineStr">
        <is>
          <t>FaceWidth (mm)</t>
        </is>
      </c>
      <c r="E6" s="20" t="inlineStr">
        <is>
          <t>Bore Dia (mm)</t>
        </is>
      </c>
      <c r="F6" s="22" t="inlineStr">
        <is>
          <t>IS 1370 / AGMA 929</t>
        </is>
      </c>
      <c r="G6" s="22" t="inlineStr">
        <is>
          <t>AddFrustum pitch cone + N tooth-ridge boxes on cone surface; bore subtracted</t>
        </is>
      </c>
      <c r="H6" s="22" t="inlineStr">
        <is>
          <t>cone_angle=45° (miter); back_R=pitch_R; front_R=pitch_R−FW×sin45°; matched pairs</t>
        </is>
      </c>
    </row>
    <row r="7" ht="43.5" customHeight="1" s="62">
      <c r="A7" s="49" t="inlineStr">
        <is>
          <t>Worm</t>
        </is>
      </c>
      <c r="B7" s="26" t="inlineStr">
        <is>
          <t>N_starts</t>
        </is>
      </c>
      <c r="C7" s="26" t="inlineStr">
        <is>
          <t>Module m (mm)</t>
        </is>
      </c>
      <c r="D7" s="26" t="inlineStr">
        <is>
          <t>Length (mm)</t>
        </is>
      </c>
      <c r="E7" s="26" t="inlineStr">
        <is>
          <t>Bore Dia (mm)</t>
        </is>
      </c>
      <c r="F7" s="28" t="inlineStr">
        <is>
          <t>IS 3734 / DIN 3975</t>
        </is>
      </c>
      <c r="G7" s="28" t="inlineStr">
        <is>
          <t>Shaft cylinder + AddTorus thread rings at each axial pitch (π×m) interval</t>
        </is>
      </c>
      <c r="H7" s="28" t="inlineStr">
        <is>
          <t>Lead=N_starts×π×m; self-locking if lead_angle&lt;friction_angle; match Worm_Wheel module</t>
        </is>
      </c>
    </row>
    <row r="8" ht="43.5" customHeight="1" s="62">
      <c r="A8" s="50" t="inlineStr">
        <is>
          <t>Worm_Wheel</t>
        </is>
      </c>
      <c r="B8" s="32" t="inlineStr">
        <is>
          <t>Teeth Z</t>
        </is>
      </c>
      <c r="C8" s="32" t="inlineStr">
        <is>
          <t>Module m (mm)</t>
        </is>
      </c>
      <c r="D8" s="32" t="inlineStr">
        <is>
          <t>FaceWidth (mm)</t>
        </is>
      </c>
      <c r="E8" s="32" t="inlineStr">
        <is>
          <t>Bore Dia (mm)</t>
        </is>
      </c>
      <c r="F8" s="34" t="inlineStr">
        <is>
          <t>IS 3734 / DIN 3975</t>
        </is>
      </c>
      <c r="G8" s="34" t="inlineStr">
        <is>
          <t>Disc + involute tooth ring + concave throat (torus subtract); bore subtracted</t>
        </is>
      </c>
      <c r="H8" s="34" t="inlineStr">
        <is>
          <t>Throat R matches worm pitch radius; always specify same module as paired Worm</t>
        </is>
      </c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5" customWidth="1" style="62" min="1" max="1"/>
    <col width="22" customWidth="1" style="62" min="2" max="3"/>
    <col width="8" customWidth="1" style="62" min="4" max="5"/>
    <col width="12" customWidth="1" style="62" min="6" max="6"/>
    <col width="16" customWidth="1" style="62" min="7" max="7"/>
    <col width="28" customWidth="1" style="62" min="8" max="8"/>
  </cols>
  <sheetData>
    <row r="1" ht="25.5" customHeight="1" s="62">
      <c r="A1" s="66" t="inlineStr">
        <is>
          <t>GEAR PAIR ASSEMBLIES — Meshing Verification</t>
        </is>
      </c>
    </row>
    <row r="2" ht="15" customHeight="1" s="62">
      <c r="A2" s="1" t="inlineStr">
        <is>
          <t>Pair</t>
        </is>
      </c>
      <c r="B2" s="1" t="inlineStr">
        <is>
          <t>Gear 1</t>
        </is>
      </c>
      <c r="C2" s="1" t="inlineStr">
        <is>
          <t>Gear 2</t>
        </is>
      </c>
      <c r="D2" s="1" t="inlineStr">
        <is>
          <t>Z1</t>
        </is>
      </c>
      <c r="E2" s="1" t="inlineStr">
        <is>
          <t>Z2</t>
        </is>
      </c>
      <c r="F2" s="1" t="inlineStr">
        <is>
          <t>Ratio</t>
        </is>
      </c>
      <c r="G2" s="1" t="inlineStr">
        <is>
          <t>Centre Dist (mm)</t>
        </is>
      </c>
      <c r="H2" s="1" t="inlineStr">
        <is>
          <t>Notes</t>
        </is>
      </c>
    </row>
    <row r="3" ht="18" customHeight="1" s="62">
      <c r="A3" s="51" t="n">
        <v>1</v>
      </c>
      <c r="B3" s="51" t="inlineStr">
        <is>
          <t>GR-SP-001-PINION</t>
        </is>
      </c>
      <c r="C3" s="51" t="inlineStr">
        <is>
          <t>GR-SP-002-WHEEL</t>
        </is>
      </c>
      <c r="D3" s="51" t="n">
        <v>18</v>
      </c>
      <c r="E3" s="51" t="n">
        <v>54</v>
      </c>
      <c r="F3" s="52">
        <f>E3/D3</f>
        <v/>
      </c>
      <c r="G3" s="53">
        <f>(D3+E3)*3/2</f>
        <v/>
      </c>
      <c r="H3" s="51" t="inlineStr">
        <is>
          <t>Spur 1:3  stage 1</t>
        </is>
      </c>
    </row>
    <row r="4" ht="18" customHeight="1" s="62">
      <c r="A4" s="54" t="n">
        <v>2</v>
      </c>
      <c r="B4" s="54" t="inlineStr">
        <is>
          <t>GR-HL-001-DRIVE</t>
        </is>
      </c>
      <c r="C4" s="54" t="inlineStr">
        <is>
          <t>GR-HL-002-DRIVEN</t>
        </is>
      </c>
      <c r="D4" s="54" t="n">
        <v>20</v>
      </c>
      <c r="E4" s="54" t="n">
        <v>60</v>
      </c>
      <c r="F4" s="55">
        <f>E4/D4</f>
        <v/>
      </c>
      <c r="G4" s="56">
        <f>(D4+E4)*3/2</f>
        <v/>
      </c>
      <c r="H4" s="54" t="inlineStr">
        <is>
          <t>Helical opposed-helix pair</t>
        </is>
      </c>
    </row>
    <row r="5" ht="18" customHeight="1" s="62">
      <c r="A5" s="51" t="n">
        <v>3</v>
      </c>
      <c r="B5" s="51" t="inlineStr">
        <is>
          <t>GR-RG-001-PLANET</t>
        </is>
      </c>
      <c r="C5" s="51" t="inlineStr">
        <is>
          <t>GR-SP-001-PINION</t>
        </is>
      </c>
      <c r="D5" s="51" t="n">
        <v>72</v>
      </c>
      <c r="E5" s="51" t="n">
        <v>18</v>
      </c>
      <c r="F5" s="52">
        <f>D5/E5</f>
        <v/>
      </c>
      <c r="G5" s="53">
        <f>(D5-E5)*3/2</f>
        <v/>
      </c>
      <c r="H5" s="51" t="inlineStr">
        <is>
          <t>Planetary ring/sun</t>
        </is>
      </c>
    </row>
    <row r="6" ht="18" customHeight="1" s="62">
      <c r="A6" s="54" t="n">
        <v>4</v>
      </c>
      <c r="B6" s="54" t="inlineStr">
        <is>
          <t>GR-BV-001-MITER</t>
        </is>
      </c>
      <c r="C6" s="54" t="inlineStr">
        <is>
          <t>GR-BV-001-MITER</t>
        </is>
      </c>
      <c r="D6" s="54" t="n">
        <v>20</v>
      </c>
      <c r="E6" s="54" t="n">
        <v>20</v>
      </c>
      <c r="F6" s="54" t="inlineStr">
        <is>
          <t>1:1</t>
        </is>
      </c>
      <c r="G6" s="54" t="inlineStr">
        <is>
          <t>Intersect axis</t>
        </is>
      </c>
      <c r="H6" s="54" t="inlineStr">
        <is>
          <t>Miter 90° axis cross</t>
        </is>
      </c>
    </row>
    <row r="7" ht="18" customHeight="1" s="62">
      <c r="A7" s="51" t="n">
        <v>5</v>
      </c>
      <c r="B7" s="51" t="inlineStr">
        <is>
          <t>GR-WM-001-WORM</t>
        </is>
      </c>
      <c r="C7" s="51" t="inlineStr">
        <is>
          <t>GR-WM-001-WHEEL</t>
        </is>
      </c>
      <c r="D7" s="51" t="n">
        <v>2</v>
      </c>
      <c r="E7" s="51" t="n">
        <v>30</v>
      </c>
      <c r="F7" s="52">
        <f>E7/D7</f>
        <v/>
      </c>
      <c r="G7" s="53">
        <f>(D7+E7)*4/2</f>
        <v/>
      </c>
      <c r="H7" s="51" t="inlineStr">
        <is>
          <t>Worm drive 1:15</t>
        </is>
      </c>
    </row>
    <row r="8" ht="18" customHeight="1" s="62">
      <c r="A8" s="54" t="n">
        <v>6</v>
      </c>
      <c r="B8" s="54" t="inlineStr">
        <is>
          <t>GR-WM-002-WORM</t>
        </is>
      </c>
      <c r="C8" s="54" t="inlineStr">
        <is>
          <t>GR-WM-002-WHEEL</t>
        </is>
      </c>
      <c r="D8" s="54" t="n">
        <v>1</v>
      </c>
      <c r="E8" s="54" t="n">
        <v>40</v>
      </c>
      <c r="F8" s="55">
        <f>E8/D8</f>
        <v/>
      </c>
      <c r="G8" s="56">
        <f>(D8+E8)*3/2</f>
        <v/>
      </c>
      <c r="H8" s="54" t="inlineStr">
        <is>
          <t>Worm drive 1:40</t>
        </is>
      </c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14" customWidth="1" style="62" min="1" max="1"/>
    <col width="10" customWidth="1" style="62" min="2" max="4"/>
    <col width="12" customWidth="1" style="62" min="5" max="5"/>
    <col width="14" customWidth="1" style="62" min="6" max="6"/>
    <col width="20" customWidth="1" style="62" min="7" max="7"/>
    <col width="30" customWidth="1" style="62" min="8" max="8"/>
  </cols>
  <sheetData>
    <row r="1" ht="25.5" customHeight="1" s="62">
      <c r="A1" s="66" t="inlineStr">
        <is>
          <t>MATERIAL DATABASE — Gear Manufacturing</t>
        </is>
      </c>
    </row>
    <row r="2" ht="22.35" customHeight="1" s="62">
      <c r="A2" s="1" t="inlineStr">
        <is>
          <t>Material_ID</t>
        </is>
      </c>
      <c r="B2" s="1" t="inlineStr">
        <is>
          <t>Density
(g/cm³)</t>
        </is>
      </c>
      <c r="C2" s="1" t="inlineStr">
        <is>
          <t>UTS
(MPa)</t>
        </is>
      </c>
      <c r="D2" s="1" t="inlineStr">
        <is>
          <t>Yield
(MPa)</t>
        </is>
      </c>
      <c r="E2" s="1" t="inlineStr">
        <is>
          <t>Cost
(Rs/kg)</t>
        </is>
      </c>
      <c r="F2" s="1" t="inlineStr">
        <is>
          <t>Machinability</t>
        </is>
      </c>
      <c r="G2" s="1" t="inlineStr">
        <is>
          <t>Typical Gear Use</t>
        </is>
      </c>
      <c r="H2" s="1" t="inlineStr">
        <is>
          <t>Notes</t>
        </is>
      </c>
    </row>
    <row r="3" ht="21.75" customHeight="1" s="62">
      <c r="A3" s="57" t="inlineStr">
        <is>
          <t>Steel-1020</t>
        </is>
      </c>
      <c r="B3" s="51" t="n">
        <v>7.87</v>
      </c>
      <c r="C3" s="51" t="n">
        <v>420</v>
      </c>
      <c r="D3" s="51" t="n">
        <v>350</v>
      </c>
      <c r="E3" s="51" t="n">
        <v>125</v>
      </c>
      <c r="F3" s="51" t="inlineStr">
        <is>
          <t>Excellent</t>
        </is>
      </c>
      <c r="G3" s="58" t="inlineStr">
        <is>
          <t>Spur/helical wheels, spacers</t>
        </is>
      </c>
      <c r="H3" s="58" t="inlineStr">
        <is>
          <t>General purpose; normalised; easy to machine</t>
        </is>
      </c>
    </row>
    <row r="4" ht="21.75" customHeight="1" s="62">
      <c r="A4" s="59" t="inlineStr">
        <is>
          <t>Steel-4140</t>
        </is>
      </c>
      <c r="B4" s="54" t="n">
        <v>7.85</v>
      </c>
      <c r="C4" s="54" t="n">
        <v>1000</v>
      </c>
      <c r="D4" s="54" t="n">
        <v>850</v>
      </c>
      <c r="E4" s="54" t="n">
        <v>185</v>
      </c>
      <c r="F4" s="54" t="inlineStr">
        <is>
          <t>Good</t>
        </is>
      </c>
      <c r="G4" s="60" t="inlineStr">
        <is>
          <t>Pinions, bevel, worm shafts</t>
        </is>
      </c>
      <c r="H4" s="60" t="inlineStr">
        <is>
          <t>Q+T condition; 28-34 HRC; case-harden to 58HRC</t>
        </is>
      </c>
    </row>
    <row r="5" ht="21.75" customHeight="1" s="62">
      <c r="A5" s="57" t="inlineStr">
        <is>
          <t>Al-6061</t>
        </is>
      </c>
      <c r="B5" s="51" t="n">
        <v>2.7</v>
      </c>
      <c r="C5" s="51" t="n">
        <v>310</v>
      </c>
      <c r="D5" s="51" t="n">
        <v>276</v>
      </c>
      <c r="E5" s="51" t="n">
        <v>265</v>
      </c>
      <c r="F5" s="51" t="inlineStr">
        <is>
          <t>Excellent</t>
        </is>
      </c>
      <c r="G5" s="58" t="inlineStr">
        <is>
          <t>Lightweight helical, idlers</t>
        </is>
      </c>
      <c r="H5" s="58" t="inlineStr">
        <is>
          <t>T6 temper; anodise bore; no heavy-load</t>
        </is>
      </c>
    </row>
    <row r="6" ht="21.75" customHeight="1" s="62">
      <c r="A6" s="59" t="inlineStr">
        <is>
          <t>Brass-C360</t>
        </is>
      </c>
      <c r="B6" s="54" t="n">
        <v>8.5</v>
      </c>
      <c r="C6" s="54" t="n">
        <v>360</v>
      </c>
      <c r="D6" s="54" t="n">
        <v>310</v>
      </c>
      <c r="E6" s="54" t="n">
        <v>520</v>
      </c>
      <c r="F6" s="54" t="inlineStr">
        <is>
          <t>Excellent</t>
        </is>
      </c>
      <c r="G6" s="60" t="inlineStr">
        <is>
          <t>Worm wheels (all)</t>
        </is>
      </c>
      <c r="H6" s="60" t="inlineStr">
        <is>
          <t>CuZn33 free-cutting; excellent against steel worm</t>
        </is>
      </c>
    </row>
    <row r="7" ht="21.75" customHeight="1" s="62">
      <c r="A7" s="57" t="inlineStr">
        <is>
          <t>Nylon-66</t>
        </is>
      </c>
      <c r="B7" s="51" t="n">
        <v>1.14</v>
      </c>
      <c r="C7" s="51" t="n">
        <v>82</v>
      </c>
      <c r="D7" s="51" t="n">
        <v>82</v>
      </c>
      <c r="E7" s="51" t="n">
        <v>415</v>
      </c>
      <c r="F7" s="51" t="inlineStr">
        <is>
          <t>Excellent</t>
        </is>
      </c>
      <c r="G7" s="58" t="inlineStr">
        <is>
          <t>Low-load spur gears, idlers</t>
        </is>
      </c>
      <c r="H7" s="58" t="inlineStr">
        <is>
          <t>Self-lubricating; absorbs shock; ±0.05mm tol</t>
        </is>
      </c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6" customWidth="1" style="62" min="1" max="1"/>
    <col width="14" customWidth="1" style="62" min="2" max="2"/>
    <col width="16" customWidth="1" style="62" min="3" max="3"/>
    <col width="20" customWidth="1" style="62" min="4" max="4"/>
    <col width="16" customWidth="1" style="62" min="5" max="5"/>
    <col width="40" customWidth="1" style="62" min="6" max="6"/>
  </cols>
  <sheetData>
    <row r="1" ht="25.5" customHeight="1" s="62">
      <c r="A1" s="66" t="inlineStr">
        <is>
          <t>CHANGE LOG — SIRAAL GEAR BOM REVISION HISTORY</t>
        </is>
      </c>
    </row>
    <row r="2" ht="15" customHeight="1" s="62">
      <c r="A2" s="1" t="inlineStr">
        <is>
          <t>Rev</t>
        </is>
      </c>
      <c r="B2" s="1" t="inlineStr">
        <is>
          <t>Date</t>
        </is>
      </c>
      <c r="C2" s="1" t="inlineStr">
        <is>
          <t>Author</t>
        </is>
      </c>
      <c r="D2" s="1" t="inlineStr">
        <is>
          <t>Part(s)</t>
        </is>
      </c>
      <c r="E2" s="1" t="inlineStr">
        <is>
          <t>Change Type</t>
        </is>
      </c>
      <c r="F2" s="1" t="inlineStr">
        <is>
          <t>Description</t>
        </is>
      </c>
    </row>
    <row r="3" ht="21.75" customHeight="1" s="62">
      <c r="A3" s="51" t="inlineStr">
        <is>
          <t>A</t>
        </is>
      </c>
      <c r="B3" s="51" t="inlineStr">
        <is>
          <t>2026-03-10</t>
        </is>
      </c>
      <c r="C3" s="51" t="inlineStr">
        <is>
          <t>Siraal QA</t>
        </is>
      </c>
      <c r="D3" s="51" t="inlineStr">
        <is>
          <t>ALL</t>
        </is>
      </c>
      <c r="E3" s="51" t="inlineStr">
        <is>
          <t>Initial Release</t>
        </is>
      </c>
      <c r="F3" s="58" t="inlineStr">
        <is>
          <t>Gear BOM created: Spur_Gear_3D, Helical_Gear, Ring_Gear_3D, Bevel_Gear, Worm, Worm_Wheel — 21 parts, 6 types</t>
        </is>
      </c>
    </row>
    <row r="4" ht="21.75" customHeight="1" s="62">
      <c r="A4" s="54" t="inlineStr">
        <is>
          <t>A</t>
        </is>
      </c>
      <c r="B4" s="54" t="inlineStr">
        <is>
          <t>2026-03-10</t>
        </is>
      </c>
      <c r="C4" s="54" t="inlineStr">
        <is>
          <t>Siraal QA</t>
        </is>
      </c>
      <c r="D4" s="54" t="inlineStr">
        <is>
          <t>GR-WARN-001</t>
        </is>
      </c>
      <c r="E4" s="54" t="inlineStr">
        <is>
          <t>Validation Test</t>
        </is>
      </c>
      <c r="F4" s="60" t="inlineStr">
        <is>
          <t>Z=8 undercut warning case — validator must flag profile shift needed</t>
        </is>
      </c>
    </row>
    <row r="5" ht="21.75" customHeight="1" s="62">
      <c r="A5" s="51" t="inlineStr">
        <is>
          <t>A</t>
        </is>
      </c>
      <c r="B5" s="51" t="inlineStr">
        <is>
          <t>2026-03-10</t>
        </is>
      </c>
      <c r="C5" s="51" t="inlineStr">
        <is>
          <t>Siraal QA</t>
        </is>
      </c>
      <c r="D5" s="51" t="inlineStr">
        <is>
          <t>GR-SKIP-001</t>
        </is>
      </c>
      <c r="E5" s="51" t="inlineStr">
        <is>
          <t>Skip Test</t>
        </is>
      </c>
      <c r="F5" s="58" t="inlineStr">
        <is>
          <t>Enabled=NO row — engine must skip generation entirely</t>
        </is>
      </c>
    </row>
    <row r="6" ht="21.75" customHeight="1" s="62">
      <c r="A6" s="54" t="inlineStr">
        <is>
          <t>A</t>
        </is>
      </c>
      <c r="B6" s="54" t="inlineStr">
        <is>
          <t>2026-03-10</t>
        </is>
      </c>
      <c r="C6" s="54" t="inlineStr">
        <is>
          <t>Siraal QA</t>
        </is>
      </c>
      <c r="D6" s="54" t="inlineStr">
        <is>
          <t>GR-WM-*</t>
        </is>
      </c>
      <c r="E6" s="54" t="inlineStr">
        <is>
          <t>Worm Pair</t>
        </is>
      </c>
      <c r="F6" s="60" t="inlineStr">
        <is>
          <t>Worm + Worm Wheel pairs added; module must match within each pair</t>
        </is>
      </c>
    </row>
    <row r="7">
      <c r="A7" t="inlineStr">
        <is>
          <t>2026-03-12 19:17:27</t>
        </is>
      </c>
      <c r="B7" t="inlineStr">
        <is>
          <t>AI Copilot via GUI</t>
        </is>
      </c>
      <c r="C7" t="inlineStr">
        <is>
          <t>Change the material of all Spur Gears to Al-6061 and increase their Face Width by 5mm.</t>
        </is>
      </c>
      <c r="D7" t="n">
        <v>21</v>
      </c>
    </row>
    <row r="8">
      <c r="A8" t="inlineStr">
        <is>
          <t>2026-03-12 19:55:40</t>
        </is>
      </c>
      <c r="B8" t="inlineStr">
        <is>
          <t>AI Copilot via GUI</t>
        </is>
      </c>
      <c r="C8" t="inlineStr">
        <is>
          <t>Change the material of all Spur Gears to Al-6061 and increase their Face Width by 15mm.</t>
        </is>
      </c>
      <c r="D8" t="n">
        <v>7</v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2026-03-10T15:05:30Z</dcterms:created>
  <dcterms:modified xsi:type="dcterms:W3CDTF">2026-03-12T14:25:40Z</dcterms:modified>
  <cp:lastModifiedBy>Swaksha R</cp:lastModifiedBy>
  <cp:revision>0</cp:revision>
</cp:coreProperties>
</file>