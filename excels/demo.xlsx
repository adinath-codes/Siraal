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din\Documents\Adi Heavy\Siraal\excels\"/>
    </mc:Choice>
  </mc:AlternateContent>
  <xr:revisionPtr revIDLastSave="0" documentId="13_ncr:1_{EFE3E3B0-8BDD-453F-AEDE-46D3612B44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" sheetId="1" r:id="rId1"/>
    <sheet name="PartTypes" sheetId="2" r:id="rId2"/>
    <sheet name="Materials" sheetId="3" r:id="rId3"/>
    <sheet name="ValidationRules" sheetId="4" r:id="rId4"/>
    <sheet name="ChangeLo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1" i="1" l="1"/>
  <c r="N21" i="1" s="1"/>
  <c r="M20" i="1"/>
  <c r="N20" i="1" s="1"/>
  <c r="M19" i="1"/>
  <c r="N19" i="1" s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N12" i="1" s="1"/>
  <c r="M11" i="1"/>
  <c r="N11" i="1" s="1"/>
  <c r="M10" i="1"/>
  <c r="N10" i="1" s="1"/>
  <c r="M9" i="1"/>
  <c r="N9" i="1" s="1"/>
  <c r="M8" i="1"/>
  <c r="N8" i="1" s="1"/>
  <c r="M7" i="1"/>
  <c r="N7" i="1" s="1"/>
  <c r="M6" i="1"/>
  <c r="N6" i="1" s="1"/>
  <c r="M5" i="1"/>
  <c r="N5" i="1" s="1"/>
  <c r="M4" i="1"/>
  <c r="N4" i="1" s="1"/>
  <c r="N24" i="1" l="1"/>
  <c r="M24" i="1"/>
</calcChain>
</file>

<file path=xl/sharedStrings.xml><?xml version="1.0" encoding="utf-8"?>
<sst xmlns="http://schemas.openxmlformats.org/spreadsheetml/2006/main" count="376" uniqueCount="225">
  <si>
    <t>SIRAAL GRAND UNIFIED MANUFACTURING ENGINE — BILL OF MATERIALS (BOM)</t>
  </si>
  <si>
    <t>TN-IMPACT 2026  |  Project: SIRAAL-MFGDEMO-2026  |  Rev: B</t>
  </si>
  <si>
    <t>Param labels depend on Part_Type — see PartTypes sheet</t>
  </si>
  <si>
    <t>#</t>
  </si>
  <si>
    <t>Part_Number</t>
  </si>
  <si>
    <t>Part_Type</t>
  </si>
  <si>
    <t>Material</t>
  </si>
  <si>
    <t>Param_1</t>
  </si>
  <si>
    <t>Param_2</t>
  </si>
  <si>
    <t>Param_3</t>
  </si>
  <si>
    <t>Param_4</t>
  </si>
  <si>
    <t>Quantity</t>
  </si>
  <si>
    <t>Priority</t>
  </si>
  <si>
    <t>Enabled</t>
  </si>
  <si>
    <t>Description</t>
  </si>
  <si>
    <t>Mass_kg</t>
  </si>
  <si>
    <t>Est_Cost_INR</t>
  </si>
  <si>
    <t>Notes</t>
  </si>
  <si>
    <t>PLT-001-BASE</t>
  </si>
  <si>
    <t>Plate</t>
  </si>
  <si>
    <t>Steel-1020</t>
  </si>
  <si>
    <t>High</t>
  </si>
  <si>
    <t>YES</t>
  </si>
  <si>
    <t>Base mounting plate — frame</t>
  </si>
  <si>
    <t>Debur all edges; zinc coat</t>
  </si>
  <si>
    <t>PLT-002-COVER</t>
  </si>
  <si>
    <t>Al-6061</t>
  </si>
  <si>
    <t>Cover plate — lightweight lid</t>
  </si>
  <si>
    <t>Anodize Type-II</t>
  </si>
  <si>
    <t>PLT-003-BRACKET</t>
  </si>
  <si>
    <t>Medium</t>
  </si>
  <si>
    <t>L-bracket adaptor plate</t>
  </si>
  <si>
    <t>Powder coat RAL 7016</t>
  </si>
  <si>
    <t>PLT-004-GUSSET</t>
  </si>
  <si>
    <t>Steel-4140</t>
  </si>
  <si>
    <t>Structural gusset — high stress</t>
  </si>
  <si>
    <t>Stress relieve after weld</t>
  </si>
  <si>
    <t>PLT-005-THIN</t>
  </si>
  <si>
    <t>Low</t>
  </si>
  <si>
    <t>Thin sheet — enclosure panel</t>
  </si>
  <si>
    <t>Roll flatten before use</t>
  </si>
  <si>
    <t>GR-SG-001</t>
  </si>
  <si>
    <t>Spur_Gear</t>
  </si>
  <si>
    <t>Primary drive spur gear Z=24 m=2</t>
  </si>
  <si>
    <t>HRC 55–60 after heat treat</t>
  </si>
  <si>
    <t>GR-SG-002</t>
  </si>
  <si>
    <t>Secondary driven gear Z=48 m=2</t>
  </si>
  <si>
    <t>Pair with GR-SG-001</t>
  </si>
  <si>
    <t>GR-SG-003</t>
  </si>
  <si>
    <t>Idler gear — Z=16 m=1.5</t>
  </si>
  <si>
    <t>Check for undercutting</t>
  </si>
  <si>
    <t>GR-SG-004</t>
  </si>
  <si>
    <t>Nylon-66</t>
  </si>
  <si>
    <t>Nylon gear — low-noise application</t>
  </si>
  <si>
    <t>Run dry — no lubrication</t>
  </si>
  <si>
    <t>GR-RG-001</t>
  </si>
  <si>
    <t>Ring_Gear</t>
  </si>
  <si>
    <t>Ring gear Z=72 for planetary set</t>
  </si>
  <si>
    <t>Internal teeth hobbed</t>
  </si>
  <si>
    <t>GR-RG-002</t>
  </si>
  <si>
    <t>Ring gear Z=48 m=2.5</t>
  </si>
  <si>
    <t>Induction harden teeth</t>
  </si>
  <si>
    <t>SH-ST-001</t>
  </si>
  <si>
    <t>Stepped_Shaft</t>
  </si>
  <si>
    <t>Main drive stepped shaft</t>
  </si>
  <si>
    <t>Ground finish ∅40h6 / ∅30h6</t>
  </si>
  <si>
    <t>SH-ST-002</t>
  </si>
  <si>
    <t>Secondary output shaft</t>
  </si>
  <si>
    <t>Key seat both ends</t>
  </si>
  <si>
    <t>SH-ST-003</t>
  </si>
  <si>
    <t>Idler shaft — short stepped</t>
  </si>
  <si>
    <t>HRC 50 after carburize</t>
  </si>
  <si>
    <t>SH-FL-001</t>
  </si>
  <si>
    <t>Flanged_Shaft</t>
  </si>
  <si>
    <t>Flanged input shaft w/ PCD bolt circle</t>
  </si>
  <si>
    <t>6×M10 bolts on PCD 90mm</t>
  </si>
  <si>
    <t>SH-FL-002</t>
  </si>
  <si>
    <t>Flanged coupling shaft</t>
  </si>
  <si>
    <t>Match drill with mating flange</t>
  </si>
  <si>
    <t>SH-FL-003</t>
  </si>
  <si>
    <t>Ti-6Al-4V</t>
  </si>
  <si>
    <t>Titanium flanged shaft — low weight</t>
  </si>
  <si>
    <t>Aerospace quality; EDM key</t>
  </si>
  <si>
    <t>PLT-ERR-1</t>
  </si>
  <si>
    <t>PLT-SKIP-1</t>
  </si>
  <si>
    <t>TOTALS (valid rows only):</t>
  </si>
  <si>
    <t>PART TYPE REFERENCE — Param Meanings &amp; Engineering Constraints</t>
  </si>
  <si>
    <t>P1 Range</t>
  </si>
  <si>
    <t>P2 Range</t>
  </si>
  <si>
    <t>Shape Preview</t>
  </si>
  <si>
    <t>Key Rules</t>
  </si>
  <si>
    <t>Length (mm)</t>
  </si>
  <si>
    <t>Width (mm)</t>
  </si>
  <si>
    <t>Thickness (mm)</t>
  </si>
  <si>
    <t>Hole Dia (mm)</t>
  </si>
  <si>
    <t>10–5000</t>
  </si>
  <si>
    <t>■ Rectangle with 4 corner holes</t>
  </si>
  <si>
    <t>Hole Ø &lt; (min(L,W) − 15mm); T ≥ Ø/5</t>
  </si>
  <si>
    <t>Teeth (Z)</t>
  </si>
  <si>
    <t>Module (m)</t>
  </si>
  <si>
    <t>Face Width (mm)</t>
  </si>
  <si>
    <t>Bore Dia (mm)</t>
  </si>
  <si>
    <t>6–400</t>
  </si>
  <si>
    <t>0.5–25</t>
  </si>
  <si>
    <t>⚙ Circular gear with keyway bore</t>
  </si>
  <si>
    <t>Z≥17 recommended; FW = 8–16×m; Bore &lt; 85% root dia</t>
  </si>
  <si>
    <t>Step-1 Len (mm)</t>
  </si>
  <si>
    <t>Step-1 Dia (mm)</t>
  </si>
  <si>
    <t>Step-2 Len (mm)</t>
  </si>
  <si>
    <t>Step-2 Dia (mm)</t>
  </si>
  <si>
    <t>10–2000</t>
  </si>
  <si>
    <t>5–500</t>
  </si>
  <si>
    <t>━━┃━ Two-diameter shaft</t>
  </si>
  <si>
    <t>Step ratio ≤ 3:1; Slenderness (L/D) ≤ 20</t>
  </si>
  <si>
    <t>Shaft Len (mm)</t>
  </si>
  <si>
    <t>Shaft Dia (mm)</t>
  </si>
  <si>
    <t>Flange OD (mm)</t>
  </si>
  <si>
    <t>Flange T (mm)</t>
  </si>
  <si>
    <t>20–3000</t>
  </si>
  <si>
    <t>━━━◉ Shaft with bolt-circle flange</t>
  </si>
  <si>
    <t>Flange OD &gt; Shaft Dia; Wall ≥ 5mm; T ≥ 0.15×ShaftDia</t>
  </si>
  <si>
    <t>Ring Thickness (mm)</t>
  </si>
  <si>
    <t>12–500</t>
  </si>
  <si>
    <t>○ Hollow ring with internal teeth</t>
  </si>
  <si>
    <t>RingT ≥ 3×module; Z ≥ 20 typical</t>
  </si>
  <si>
    <t>MATERIAL DATABASE — Siraal Manufacturing Engine</t>
  </si>
  <si>
    <t>Material ID</t>
  </si>
  <si>
    <t>Density (g/cm³)</t>
  </si>
  <si>
    <t>UTS (MPa)</t>
  </si>
  <si>
    <t>Yield (MPa)</t>
  </si>
  <si>
    <t>Cost (₹/kg)</t>
  </si>
  <si>
    <t>Machinability</t>
  </si>
  <si>
    <t>Weldability</t>
  </si>
  <si>
    <t>Common Use</t>
  </si>
  <si>
    <t>Excellent</t>
  </si>
  <si>
    <t>Structural plates, shafts</t>
  </si>
  <si>
    <t>Normalised; good for general use</t>
  </si>
  <si>
    <t>Good</t>
  </si>
  <si>
    <t>Gears, shafts, high-stress parts</t>
  </si>
  <si>
    <t>Q+T; HRC 28–34 before machining</t>
  </si>
  <si>
    <t>Lightweight plates, covers</t>
  </si>
  <si>
    <t>T6 temper; anodize recommended</t>
  </si>
  <si>
    <t>Brass-C360</t>
  </si>
  <si>
    <t>Fair</t>
  </si>
  <si>
    <t>Bushings, fittings</t>
  </si>
  <si>
    <t>Free-machining grade</t>
  </si>
  <si>
    <t>N/A</t>
  </si>
  <si>
    <t>Low-noise gears, bushings</t>
  </si>
  <si>
    <t>Run dry; moisture absorption ≤2%</t>
  </si>
  <si>
    <t>Difficult</t>
  </si>
  <si>
    <t>Aerospace, light high-strength</t>
  </si>
  <si>
    <t>Grade 5; EDM or carbide tooling</t>
  </si>
  <si>
    <t>⚡ Costs marked with * are updated live via MetalpriceAPI when METALPRICE_API_KEY env var is set. Al-6061 tracks silver spot (XAG) as proxy. Set API key in environment for real-time pricing.</t>
  </si>
  <si>
    <t>ENGINEERING VALIDATION RULES — Siraal Engine v3.0</t>
  </si>
  <si>
    <t>Part Type</t>
  </si>
  <si>
    <t>Severity</t>
  </si>
  <si>
    <t>Rule</t>
  </si>
  <si>
    <t>Check</t>
  </si>
  <si>
    <t>Auto-Fix?</t>
  </si>
  <si>
    <t>Action on Fail</t>
  </si>
  <si>
    <t>ALL</t>
  </si>
  <si>
    <t>ERROR</t>
  </si>
  <si>
    <t>PARAM_PARSE</t>
  </si>
  <si>
    <t>All P1–P4 must be numeric and &gt; 0</t>
  </si>
  <si>
    <t>No</t>
  </si>
  <si>
    <t>Reject part</t>
  </si>
  <si>
    <t>UNKNOWN_TYPE</t>
  </si>
  <si>
    <t>Part_Type must be in known type list</t>
  </si>
  <si>
    <t>WARNING</t>
  </si>
  <si>
    <t>UNKNOWN_MATERIAL</t>
  </si>
  <si>
    <t>Material must be in material DB</t>
  </si>
  <si>
    <t>Yes</t>
  </si>
  <si>
    <t>Fallback to Steel-1020</t>
  </si>
  <si>
    <t>PLATE_INTEGRITY</t>
  </si>
  <si>
    <t>Hole Ø &lt; (min(L,W) − 15mm)</t>
  </si>
  <si>
    <t>PLATE_THICKNESS</t>
  </si>
  <si>
    <t>Thickness ≥ Hole_Dia / 5</t>
  </si>
  <si>
    <t>Log warning only</t>
  </si>
  <si>
    <t>PLATE_ASPECT</t>
  </si>
  <si>
    <t>Aspect ratio (max/min) ≤ 10:1</t>
  </si>
  <si>
    <t>GEAR_BORE</t>
  </si>
  <si>
    <t>Bore_Dia &lt; 85% of root dia</t>
  </si>
  <si>
    <t>GEAR_FACEWIDTH</t>
  </si>
  <si>
    <t>Face width = 8–16 × Module</t>
  </si>
  <si>
    <t>INFO</t>
  </si>
  <si>
    <t>GEAR_UNDERCUTTING</t>
  </si>
  <si>
    <t>Z ≥ 17 for standard pressure angle</t>
  </si>
  <si>
    <t>Log info only</t>
  </si>
  <si>
    <t>SHAFT_STEP</t>
  </si>
  <si>
    <t>Dia step ratio ≤ 3:1</t>
  </si>
  <si>
    <t>SHAFT_SLENDERNESS</t>
  </si>
  <si>
    <t>L/max(D1,D2) ≤ 20</t>
  </si>
  <si>
    <t>FLANGE_OD</t>
  </si>
  <si>
    <t>Flange_OD &gt; Shaft_Dia</t>
  </si>
  <si>
    <t>FLANGE_WALL</t>
  </si>
  <si>
    <t>Radial wall = (OD−ShaftDia)/2 ≥ 5mm</t>
  </si>
  <si>
    <t>RING_WALL</t>
  </si>
  <si>
    <t>Ring_Thickness ≥ 3 × Module</t>
  </si>
  <si>
    <t>PARAM_RANGE</t>
  </si>
  <si>
    <t>Each param within type-specific min/max</t>
  </si>
  <si>
    <t>CHANGE LOG — SIRAAL BOM REVISION HISTORY</t>
  </si>
  <si>
    <t>Rev</t>
  </si>
  <si>
    <t>Date</t>
  </si>
  <si>
    <t>Author</t>
  </si>
  <si>
    <t>Part(s) Affected</t>
  </si>
  <si>
    <t>Change Type</t>
  </si>
  <si>
    <t>A</t>
  </si>
  <si>
    <t>2026-03-01</t>
  </si>
  <si>
    <t>R. Vikram</t>
  </si>
  <si>
    <t>Initial Release</t>
  </si>
  <si>
    <t>First BOM created for TN-IMPACT demo — Plates + Spur Gears</t>
  </si>
  <si>
    <t>B</t>
  </si>
  <si>
    <t>2026-03-04</t>
  </si>
  <si>
    <t>GR-RG-*, SH-FL-*</t>
  </si>
  <si>
    <t>Added Part Types</t>
  </si>
  <si>
    <t>Ring Gear + Flanged Shaft types added; validator v3.0 updated</t>
  </si>
  <si>
    <t>Siraal QA</t>
  </si>
  <si>
    <t>Test Case Added</t>
  </si>
  <si>
    <t>Intentional failure case added to verify validator error detection</t>
  </si>
  <si>
    <t>Enabled Flag Test</t>
  </si>
  <si>
    <t>Row with Enabled=NO added to test skip logic in validator</t>
  </si>
  <si>
    <t>Materials DB</t>
  </si>
  <si>
    <t>Cost Update</t>
  </si>
  <si>
    <t>Ti-6Al-4V cost updated to ₹3800/kg (market March 2026)</t>
  </si>
  <si>
    <t>Custom-new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</si>
</sst>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\₹#,##0.00"/>
  </numFmts>
  <fonts count="1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9"/>
      <color rgb="FF1B4F72"/>
      <name val="Calibri"/>
    </font>
    <font>
      <i/>
      <sz val="8"/>
      <color rgb="FFD35400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9"/>
      <color rgb="FF000000"/>
      <name val="Calibri"/>
    </font>
    <font>
      <b/>
      <sz val="9"/>
      <color rgb="FF1B4F72"/>
      <name val="Calibri"/>
    </font>
    <font>
      <i/>
      <sz val="8"/>
      <color rgb="FF555555"/>
      <name val="Calibri"/>
    </font>
    <font>
      <sz val="9"/>
      <color rgb="FF555555"/>
      <name val="Calibri"/>
    </font>
    <font>
      <b/>
      <sz val="9"/>
      <color rgb="FF555555"/>
      <name val="Calibri"/>
    </font>
    <font>
      <b/>
      <sz val="10"/>
      <color rgb="FFFFFFFF"/>
      <name val="Calibri"/>
    </font>
    <font>
      <b/>
      <sz val="14"/>
      <color rgb="FFFFFFFF"/>
      <name val="Calibri"/>
    </font>
    <font>
      <b/>
      <sz val="9"/>
      <color rgb="FFC0392B"/>
      <name val="Calibri"/>
    </font>
    <font>
      <b/>
      <sz val="9"/>
      <color rgb="FFD354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D6EAF8"/>
      </patternFill>
    </fill>
    <fill>
      <patternFill patternType="solid">
        <fgColor rgb="FFF9E79F"/>
      </patternFill>
    </fill>
    <fill>
      <patternFill patternType="solid">
        <fgColor rgb="FF1B4F72"/>
      </patternFill>
    </fill>
    <fill>
      <patternFill patternType="solid">
        <fgColor rgb="FFD5F5E3"/>
      </patternFill>
    </fill>
    <fill>
      <patternFill patternType="solid">
        <fgColor rgb="FFE8DAEF"/>
      </patternFill>
    </fill>
    <fill>
      <patternFill patternType="solid">
        <fgColor rgb="FFFAE5D3"/>
      </patternFill>
    </fill>
    <fill>
      <patternFill patternType="solid">
        <fgColor rgb="FFBDC3C7"/>
      </patternFill>
    </fill>
    <fill>
      <patternFill patternType="solid">
        <fgColor rgb="FFF4F6F7"/>
      </patternFill>
    </fill>
    <fill>
      <patternFill patternType="solid">
        <fgColor rgb="FFFFFFFF"/>
      </patternFill>
    </fill>
    <fill>
      <patternFill patternType="solid">
        <fgColor rgb="FFFADBD8"/>
      </patternFill>
    </fill>
  </fills>
  <borders count="3">
    <border>
      <left/>
      <right/>
      <top/>
      <bottom/>
      <diagonal/>
    </border>
    <border>
      <left style="medium">
        <color rgb="FF1B4F72"/>
      </left>
      <right style="medium">
        <color rgb="FF1B4F72"/>
      </right>
      <top style="medium">
        <color rgb="FF1B4F72"/>
      </top>
      <bottom style="medium">
        <color rgb="FF1B4F72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164" fontId="6" fillId="6" borderId="2" xfId="0" applyNumberFormat="1" applyFont="1" applyFill="1" applyBorder="1" applyAlignment="1">
      <alignment horizontal="center" vertical="center"/>
    </xf>
    <xf numFmtId="165" fontId="7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164" fontId="6" fillId="3" borderId="2" xfId="0" applyNumberFormat="1" applyFont="1" applyFill="1" applyBorder="1" applyAlignment="1">
      <alignment horizontal="center" vertical="center"/>
    </xf>
    <xf numFmtId="165" fontId="7" fillId="3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164" fontId="6" fillId="7" borderId="2" xfId="0" applyNumberFormat="1" applyFont="1" applyFill="1" applyBorder="1" applyAlignment="1">
      <alignment horizontal="center" vertical="center"/>
    </xf>
    <xf numFmtId="165" fontId="7" fillId="7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/>
    </xf>
    <xf numFmtId="164" fontId="6" fillId="8" borderId="2" xfId="0" applyNumberFormat="1" applyFont="1" applyFill="1" applyBorder="1" applyAlignment="1">
      <alignment horizontal="center" vertical="center"/>
    </xf>
    <xf numFmtId="165" fontId="7" fillId="8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164" fontId="6" fillId="4" borderId="2" xfId="0" applyNumberFormat="1" applyFont="1" applyFill="1" applyBorder="1" applyAlignment="1">
      <alignment horizontal="center" vertical="center"/>
    </xf>
    <xf numFmtId="165" fontId="7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left" vertical="center"/>
    </xf>
    <xf numFmtId="164" fontId="6" fillId="9" borderId="2" xfId="0" applyNumberFormat="1" applyFont="1" applyFill="1" applyBorder="1" applyAlignment="1">
      <alignment horizontal="center" vertical="center"/>
    </xf>
    <xf numFmtId="165" fontId="7" fillId="9" borderId="2" xfId="0" applyNumberFormat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left" vertical="center"/>
    </xf>
    <xf numFmtId="164" fontId="11" fillId="2" borderId="1" xfId="0" applyNumberFormat="1" applyFont="1" applyFill="1" applyBorder="1" applyAlignment="1">
      <alignment horizontal="center" vertical="center"/>
    </xf>
    <xf numFmtId="165" fontId="11" fillId="2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center"/>
    </xf>
    <xf numFmtId="0" fontId="6" fillId="11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left" vertical="center"/>
    </xf>
    <xf numFmtId="0" fontId="14" fillId="8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showGridLines="0" tabSelected="1" workbookViewId="0">
      <pane ySplit="3" topLeftCell="A10" activePane="bottomLeft" state="frozen"/>
      <selection pane="bottomLeft" activeCell="B21" sqref="B21"/>
    </sheetView>
  </sheetViews>
  <sheetFormatPr defaultRowHeight="14.4" x14ac:dyDescent="0.3"/>
  <cols>
    <col min="1" max="1" width="4" customWidth="1"/>
    <col min="2" max="3" width="16" customWidth="1"/>
    <col min="4" max="4" width="14" customWidth="1"/>
    <col min="5" max="8" width="9" customWidth="1"/>
    <col min="9" max="9" width="7" customWidth="1"/>
    <col min="10" max="10" width="10" customWidth="1"/>
    <col min="11" max="11" width="8" customWidth="1"/>
    <col min="12" max="12" width="20" customWidth="1"/>
    <col min="13" max="13" width="12" customWidth="1"/>
    <col min="14" max="14" width="14" customWidth="1"/>
    <col min="15" max="15" width="18" customWidth="1"/>
  </cols>
  <sheetData>
    <row r="1" spans="1:15" ht="31.95" customHeight="1" x14ac:dyDescent="0.3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</row>
    <row r="2" spans="1:15" ht="18" customHeight="1" x14ac:dyDescent="0.3">
      <c r="A2" s="56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4" t="s">
        <v>2</v>
      </c>
      <c r="L2" s="53"/>
      <c r="M2" s="53"/>
      <c r="N2" s="53"/>
      <c r="O2" s="53"/>
    </row>
    <row r="3" spans="1:15" ht="28.05" customHeigh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</row>
    <row r="4" spans="1:15" ht="18" customHeight="1" x14ac:dyDescent="0.3">
      <c r="A4" s="2">
        <v>1</v>
      </c>
      <c r="B4" s="3" t="s">
        <v>18</v>
      </c>
      <c r="C4" s="2" t="s">
        <v>19</v>
      </c>
      <c r="D4" s="2" t="s">
        <v>20</v>
      </c>
      <c r="E4" s="2">
        <v>800</v>
      </c>
      <c r="F4" s="2">
        <v>300</v>
      </c>
      <c r="G4" s="2">
        <v>12</v>
      </c>
      <c r="H4" s="2">
        <v>18</v>
      </c>
      <c r="I4" s="2">
        <v>2</v>
      </c>
      <c r="J4" s="2" t="s">
        <v>21</v>
      </c>
      <c r="K4" s="2" t="s">
        <v>22</v>
      </c>
      <c r="L4" s="4" t="s">
        <v>23</v>
      </c>
      <c r="M4" s="5">
        <f>ROUND(E4*F4*G4/7870/1000*7.87,3)</f>
        <v>2.88</v>
      </c>
      <c r="N4" s="6">
        <f>ROUND(M4*125,2)</f>
        <v>360</v>
      </c>
      <c r="O4" s="7" t="s">
        <v>24</v>
      </c>
    </row>
    <row r="5" spans="1:15" ht="18" customHeight="1" x14ac:dyDescent="0.3">
      <c r="A5" s="2">
        <v>2</v>
      </c>
      <c r="B5" s="3" t="s">
        <v>25</v>
      </c>
      <c r="C5" s="2" t="s">
        <v>19</v>
      </c>
      <c r="D5" s="2" t="s">
        <v>26</v>
      </c>
      <c r="E5" s="2">
        <v>250</v>
      </c>
      <c r="F5" s="2">
        <v>180</v>
      </c>
      <c r="G5" s="2">
        <v>8</v>
      </c>
      <c r="H5" s="2">
        <v>12</v>
      </c>
      <c r="I5" s="2">
        <v>4</v>
      </c>
      <c r="J5" s="2" t="s">
        <v>21</v>
      </c>
      <c r="K5" s="2" t="s">
        <v>22</v>
      </c>
      <c r="L5" s="4" t="s">
        <v>27</v>
      </c>
      <c r="M5" s="5">
        <f>ROUND(E5*F5*G5/2700/1000*2.7,3)</f>
        <v>0.36</v>
      </c>
      <c r="N5" s="6">
        <f>ROUND(M5*265,2)</f>
        <v>95.4</v>
      </c>
      <c r="O5" s="7" t="s">
        <v>28</v>
      </c>
    </row>
    <row r="6" spans="1:15" ht="18" customHeight="1" x14ac:dyDescent="0.3">
      <c r="A6" s="2">
        <v>3</v>
      </c>
      <c r="B6" s="3" t="s">
        <v>29</v>
      </c>
      <c r="C6" s="2" t="s">
        <v>19</v>
      </c>
      <c r="D6" s="2" t="s">
        <v>20</v>
      </c>
      <c r="E6" s="2">
        <v>120</v>
      </c>
      <c r="F6" s="2">
        <v>80</v>
      </c>
      <c r="G6" s="2">
        <v>10</v>
      </c>
      <c r="H6" s="2">
        <v>8</v>
      </c>
      <c r="I6" s="2">
        <v>6</v>
      </c>
      <c r="J6" s="2" t="s">
        <v>30</v>
      </c>
      <c r="K6" s="2" t="s">
        <v>22</v>
      </c>
      <c r="L6" s="4" t="s">
        <v>31</v>
      </c>
      <c r="M6" s="5">
        <f>ROUND(E6*F6*G6/7870/1000*7.87,3)</f>
        <v>9.6000000000000002E-2</v>
      </c>
      <c r="N6" s="6">
        <f>ROUND(M6*125,2)</f>
        <v>12</v>
      </c>
      <c r="O6" s="7" t="s">
        <v>32</v>
      </c>
    </row>
    <row r="7" spans="1:15" ht="18" customHeight="1" x14ac:dyDescent="0.3">
      <c r="A7" s="2">
        <v>4</v>
      </c>
      <c r="B7" s="3" t="s">
        <v>33</v>
      </c>
      <c r="C7" s="2" t="s">
        <v>19</v>
      </c>
      <c r="D7" s="2" t="s">
        <v>34</v>
      </c>
      <c r="E7" s="2">
        <v>200</v>
      </c>
      <c r="F7" s="2">
        <v>150</v>
      </c>
      <c r="G7" s="2">
        <v>16</v>
      </c>
      <c r="H7" s="2">
        <v>14</v>
      </c>
      <c r="I7" s="2">
        <v>2</v>
      </c>
      <c r="J7" s="2" t="s">
        <v>21</v>
      </c>
      <c r="K7" s="2" t="s">
        <v>22</v>
      </c>
      <c r="L7" s="4" t="s">
        <v>35</v>
      </c>
      <c r="M7" s="5">
        <f>ROUND(E7*F7*G7/7850/1000*7.85,3)</f>
        <v>0.48</v>
      </c>
      <c r="N7" s="6">
        <f>ROUND(M7*185,2)</f>
        <v>88.8</v>
      </c>
      <c r="O7" s="7" t="s">
        <v>36</v>
      </c>
    </row>
    <row r="8" spans="1:15" ht="18" customHeight="1" x14ac:dyDescent="0.3">
      <c r="A8" s="2">
        <v>5</v>
      </c>
      <c r="B8" s="3" t="s">
        <v>37</v>
      </c>
      <c r="C8" s="2" t="s">
        <v>19</v>
      </c>
      <c r="D8" s="2" t="s">
        <v>26</v>
      </c>
      <c r="E8" s="2">
        <v>600</v>
      </c>
      <c r="F8" s="2">
        <v>400</v>
      </c>
      <c r="G8" s="2">
        <v>5</v>
      </c>
      <c r="H8" s="2">
        <v>20</v>
      </c>
      <c r="I8" s="2">
        <v>1</v>
      </c>
      <c r="J8" s="2" t="s">
        <v>38</v>
      </c>
      <c r="K8" s="2" t="s">
        <v>22</v>
      </c>
      <c r="L8" s="4" t="s">
        <v>39</v>
      </c>
      <c r="M8" s="5">
        <f>ROUND(E8*F8*G8/2700/1000*2.7,3)</f>
        <v>1.2</v>
      </c>
      <c r="N8" s="6">
        <f>ROUND(M8*265,2)</f>
        <v>318</v>
      </c>
      <c r="O8" s="7" t="s">
        <v>40</v>
      </c>
    </row>
    <row r="9" spans="1:15" ht="18" customHeight="1" x14ac:dyDescent="0.3">
      <c r="A9" s="8">
        <v>6</v>
      </c>
      <c r="B9" s="9" t="s">
        <v>41</v>
      </c>
      <c r="C9" s="8" t="s">
        <v>42</v>
      </c>
      <c r="D9" s="8" t="s">
        <v>34</v>
      </c>
      <c r="E9" s="8">
        <v>24</v>
      </c>
      <c r="F9" s="8">
        <v>2</v>
      </c>
      <c r="G9" s="8">
        <v>30</v>
      </c>
      <c r="H9" s="8">
        <v>20</v>
      </c>
      <c r="I9" s="8">
        <v>1</v>
      </c>
      <c r="J9" s="8" t="s">
        <v>21</v>
      </c>
      <c r="K9" s="8" t="s">
        <v>22</v>
      </c>
      <c r="L9" s="10" t="s">
        <v>43</v>
      </c>
      <c r="M9" s="11">
        <f>ROUND(E9*F9*G9/7850/1000*7.85,3)</f>
        <v>1E-3</v>
      </c>
      <c r="N9" s="12">
        <f>ROUND(M9*185,2)</f>
        <v>0.19</v>
      </c>
      <c r="O9" s="13" t="s">
        <v>44</v>
      </c>
    </row>
    <row r="10" spans="1:15" ht="18" customHeight="1" x14ac:dyDescent="0.3">
      <c r="A10" s="8">
        <v>7</v>
      </c>
      <c r="B10" s="9" t="s">
        <v>45</v>
      </c>
      <c r="C10" s="8" t="s">
        <v>42</v>
      </c>
      <c r="D10" s="8" t="s">
        <v>34</v>
      </c>
      <c r="E10" s="8">
        <v>48</v>
      </c>
      <c r="F10" s="8">
        <v>2</v>
      </c>
      <c r="G10" s="8">
        <v>30</v>
      </c>
      <c r="H10" s="8">
        <v>25</v>
      </c>
      <c r="I10" s="8">
        <v>1</v>
      </c>
      <c r="J10" s="8" t="s">
        <v>21</v>
      </c>
      <c r="K10" s="8" t="s">
        <v>22</v>
      </c>
      <c r="L10" s="10" t="s">
        <v>46</v>
      </c>
      <c r="M10" s="11">
        <f>ROUND(E10*F10*G10/7850/1000*7.85,3)</f>
        <v>3.0000000000000001E-3</v>
      </c>
      <c r="N10" s="12">
        <f>ROUND(M10*185,2)</f>
        <v>0.56000000000000005</v>
      </c>
      <c r="O10" s="13" t="s">
        <v>47</v>
      </c>
    </row>
    <row r="11" spans="1:15" ht="18" customHeight="1" x14ac:dyDescent="0.3">
      <c r="A11" s="8">
        <v>8</v>
      </c>
      <c r="B11" s="9" t="s">
        <v>48</v>
      </c>
      <c r="C11" s="8" t="s">
        <v>42</v>
      </c>
      <c r="D11" s="8" t="s">
        <v>26</v>
      </c>
      <c r="E11" s="8">
        <v>16</v>
      </c>
      <c r="F11" s="8">
        <v>1.5</v>
      </c>
      <c r="G11" s="8">
        <v>20</v>
      </c>
      <c r="H11" s="8">
        <v>12</v>
      </c>
      <c r="I11" s="8">
        <v>2</v>
      </c>
      <c r="J11" s="8" t="s">
        <v>30</v>
      </c>
      <c r="K11" s="8" t="s">
        <v>22</v>
      </c>
      <c r="L11" s="10" t="s">
        <v>49</v>
      </c>
      <c r="M11" s="11">
        <f>ROUND(E11*F11*G11/2700/1000*2.7,3)</f>
        <v>0</v>
      </c>
      <c r="N11" s="12">
        <f>ROUND(M11*265,2)</f>
        <v>0</v>
      </c>
      <c r="O11" s="13" t="s">
        <v>50</v>
      </c>
    </row>
    <row r="12" spans="1:15" ht="18" customHeight="1" x14ac:dyDescent="0.3">
      <c r="A12" s="8">
        <v>9</v>
      </c>
      <c r="B12" s="9" t="s">
        <v>51</v>
      </c>
      <c r="C12" s="8" t="s">
        <v>42</v>
      </c>
      <c r="D12" s="8" t="s">
        <v>52</v>
      </c>
      <c r="E12" s="8">
        <v>20</v>
      </c>
      <c r="F12" s="8">
        <v>1.5</v>
      </c>
      <c r="G12" s="8">
        <v>18</v>
      </c>
      <c r="H12" s="8">
        <v>10</v>
      </c>
      <c r="I12" s="8">
        <v>4</v>
      </c>
      <c r="J12" s="8" t="s">
        <v>38</v>
      </c>
      <c r="K12" s="8" t="s">
        <v>22</v>
      </c>
      <c r="L12" s="10" t="s">
        <v>53</v>
      </c>
      <c r="M12" s="11">
        <f>ROUND(E12*F12*G12/1140/1000*1.14,3)</f>
        <v>1E-3</v>
      </c>
      <c r="N12" s="12">
        <f>ROUND(M12*415,2)</f>
        <v>0.42</v>
      </c>
      <c r="O12" s="13" t="s">
        <v>54</v>
      </c>
    </row>
    <row r="13" spans="1:15" ht="18" customHeight="1" x14ac:dyDescent="0.3">
      <c r="A13" s="14">
        <v>10</v>
      </c>
      <c r="B13" s="15" t="s">
        <v>55</v>
      </c>
      <c r="C13" s="14" t="s">
        <v>56</v>
      </c>
      <c r="D13" s="14" t="s">
        <v>34</v>
      </c>
      <c r="E13" s="14">
        <v>72</v>
      </c>
      <c r="F13" s="14">
        <v>2</v>
      </c>
      <c r="G13" s="14">
        <v>35</v>
      </c>
      <c r="H13" s="14">
        <v>12</v>
      </c>
      <c r="I13" s="14">
        <v>1</v>
      </c>
      <c r="J13" s="14" t="s">
        <v>21</v>
      </c>
      <c r="K13" s="14" t="s">
        <v>22</v>
      </c>
      <c r="L13" s="16" t="s">
        <v>57</v>
      </c>
      <c r="M13" s="17">
        <f>ROUND(E13*F13*G13/7850/1000*7.85,3)</f>
        <v>5.0000000000000001E-3</v>
      </c>
      <c r="N13" s="18">
        <f>ROUND(M13*185,2)</f>
        <v>0.93</v>
      </c>
      <c r="O13" s="19" t="s">
        <v>58</v>
      </c>
    </row>
    <row r="14" spans="1:15" ht="18" customHeight="1" x14ac:dyDescent="0.3">
      <c r="A14" s="14">
        <v>11</v>
      </c>
      <c r="B14" s="15" t="s">
        <v>59</v>
      </c>
      <c r="C14" s="14" t="s">
        <v>56</v>
      </c>
      <c r="D14" s="14" t="s">
        <v>20</v>
      </c>
      <c r="E14" s="14">
        <v>48</v>
      </c>
      <c r="F14" s="14">
        <v>2.5</v>
      </c>
      <c r="G14" s="14">
        <v>28</v>
      </c>
      <c r="H14" s="14">
        <v>15</v>
      </c>
      <c r="I14" s="14">
        <v>1</v>
      </c>
      <c r="J14" s="14" t="s">
        <v>30</v>
      </c>
      <c r="K14" s="14" t="s">
        <v>22</v>
      </c>
      <c r="L14" s="16" t="s">
        <v>60</v>
      </c>
      <c r="M14" s="17">
        <f>ROUND(E14*F14*G14/7870/1000*7.87,3)</f>
        <v>3.0000000000000001E-3</v>
      </c>
      <c r="N14" s="18">
        <f>ROUND(M14*125,2)</f>
        <v>0.38</v>
      </c>
      <c r="O14" s="19" t="s">
        <v>61</v>
      </c>
    </row>
    <row r="15" spans="1:15" ht="18" customHeight="1" x14ac:dyDescent="0.3">
      <c r="A15" s="20">
        <v>12</v>
      </c>
      <c r="B15" s="21" t="s">
        <v>62</v>
      </c>
      <c r="C15" s="20" t="s">
        <v>63</v>
      </c>
      <c r="D15" s="20" t="s">
        <v>34</v>
      </c>
      <c r="E15" s="20">
        <v>150</v>
      </c>
      <c r="F15" s="20">
        <v>40</v>
      </c>
      <c r="G15" s="20">
        <v>100</v>
      </c>
      <c r="H15" s="20">
        <v>30</v>
      </c>
      <c r="I15" s="20">
        <v>2</v>
      </c>
      <c r="J15" s="20" t="s">
        <v>21</v>
      </c>
      <c r="K15" s="20" t="s">
        <v>22</v>
      </c>
      <c r="L15" s="22" t="s">
        <v>64</v>
      </c>
      <c r="M15" s="23">
        <f>ROUND(E15*F15*G15/7850/1000*7.85,3)</f>
        <v>0.6</v>
      </c>
      <c r="N15" s="24">
        <f>ROUND(M15*185,2)</f>
        <v>111</v>
      </c>
      <c r="O15" s="25" t="s">
        <v>65</v>
      </c>
    </row>
    <row r="16" spans="1:15" ht="18" customHeight="1" x14ac:dyDescent="0.3">
      <c r="A16" s="20">
        <v>13</v>
      </c>
      <c r="B16" s="21" t="s">
        <v>66</v>
      </c>
      <c r="C16" s="20" t="s">
        <v>63</v>
      </c>
      <c r="D16" s="20" t="s">
        <v>20</v>
      </c>
      <c r="E16" s="20">
        <v>200</v>
      </c>
      <c r="F16" s="20">
        <v>50</v>
      </c>
      <c r="G16" s="20">
        <v>120</v>
      </c>
      <c r="H16" s="20">
        <v>35</v>
      </c>
      <c r="I16" s="20">
        <v>1</v>
      </c>
      <c r="J16" s="20" t="s">
        <v>30</v>
      </c>
      <c r="K16" s="20" t="s">
        <v>22</v>
      </c>
      <c r="L16" s="22" t="s">
        <v>67</v>
      </c>
      <c r="M16" s="23">
        <f>ROUND(E16*F16*G16/7870/1000*7.87,3)</f>
        <v>1.2</v>
      </c>
      <c r="N16" s="24">
        <f>ROUND(M16*125,2)</f>
        <v>150</v>
      </c>
      <c r="O16" s="25" t="s">
        <v>68</v>
      </c>
    </row>
    <row r="17" spans="1:15" ht="18" customHeight="1" x14ac:dyDescent="0.3">
      <c r="A17" s="20">
        <v>14</v>
      </c>
      <c r="B17" s="21" t="s">
        <v>69</v>
      </c>
      <c r="C17" s="20" t="s">
        <v>63</v>
      </c>
      <c r="D17" s="20" t="s">
        <v>34</v>
      </c>
      <c r="E17" s="20">
        <v>80</v>
      </c>
      <c r="F17" s="20">
        <v>25</v>
      </c>
      <c r="G17" s="20">
        <v>60</v>
      </c>
      <c r="H17" s="20">
        <v>20</v>
      </c>
      <c r="I17" s="20">
        <v>4</v>
      </c>
      <c r="J17" s="20" t="s">
        <v>21</v>
      </c>
      <c r="K17" s="20" t="s">
        <v>22</v>
      </c>
      <c r="L17" s="22" t="s">
        <v>70</v>
      </c>
      <c r="M17" s="23">
        <f>ROUND(E17*F17*G17/7850/1000*7.85,3)</f>
        <v>0.12</v>
      </c>
      <c r="N17" s="24">
        <f>ROUND(M17*185,2)</f>
        <v>22.2</v>
      </c>
      <c r="O17" s="25" t="s">
        <v>71</v>
      </c>
    </row>
    <row r="18" spans="1:15" ht="18" customHeight="1" x14ac:dyDescent="0.3">
      <c r="A18" s="26">
        <v>15</v>
      </c>
      <c r="B18" s="27" t="s">
        <v>72</v>
      </c>
      <c r="C18" s="26" t="s">
        <v>73</v>
      </c>
      <c r="D18" s="26" t="s">
        <v>34</v>
      </c>
      <c r="E18" s="26">
        <v>300</v>
      </c>
      <c r="F18" s="26">
        <v>45</v>
      </c>
      <c r="G18" s="26">
        <v>120</v>
      </c>
      <c r="H18" s="26">
        <v>20</v>
      </c>
      <c r="I18" s="26">
        <v>1</v>
      </c>
      <c r="J18" s="26" t="s">
        <v>21</v>
      </c>
      <c r="K18" s="26" t="s">
        <v>22</v>
      </c>
      <c r="L18" s="28" t="s">
        <v>74</v>
      </c>
      <c r="M18" s="29">
        <f>ROUND(E18*F18*G18/7850/1000*7.85,3)</f>
        <v>1.62</v>
      </c>
      <c r="N18" s="30">
        <f>ROUND(M18*185,2)</f>
        <v>299.7</v>
      </c>
      <c r="O18" s="31" t="s">
        <v>75</v>
      </c>
    </row>
    <row r="19" spans="1:15" ht="18" customHeight="1" x14ac:dyDescent="0.3">
      <c r="A19" s="26">
        <v>16</v>
      </c>
      <c r="B19" s="27" t="s">
        <v>76</v>
      </c>
      <c r="C19" s="26" t="s">
        <v>73</v>
      </c>
      <c r="D19" s="26" t="s">
        <v>20</v>
      </c>
      <c r="E19" s="26">
        <v>200</v>
      </c>
      <c r="F19" s="26">
        <v>30</v>
      </c>
      <c r="G19" s="26">
        <v>80</v>
      </c>
      <c r="H19" s="26">
        <v>15</v>
      </c>
      <c r="I19" s="26">
        <v>2</v>
      </c>
      <c r="J19" s="26" t="s">
        <v>30</v>
      </c>
      <c r="K19" s="26" t="s">
        <v>22</v>
      </c>
      <c r="L19" s="28" t="s">
        <v>77</v>
      </c>
      <c r="M19" s="29">
        <f>ROUND(E19*F19*G19/7870/1000*7.87,3)</f>
        <v>0.48</v>
      </c>
      <c r="N19" s="30">
        <f>ROUND(M19*125,2)</f>
        <v>60</v>
      </c>
      <c r="O19" s="31" t="s">
        <v>78</v>
      </c>
    </row>
    <row r="20" spans="1:15" ht="18" customHeight="1" x14ac:dyDescent="0.3">
      <c r="A20" s="26">
        <v>17</v>
      </c>
      <c r="B20" s="27" t="s">
        <v>79</v>
      </c>
      <c r="C20" s="26" t="s">
        <v>73</v>
      </c>
      <c r="D20" s="26" t="s">
        <v>80</v>
      </c>
      <c r="E20" s="26">
        <v>250</v>
      </c>
      <c r="F20" s="26">
        <v>35</v>
      </c>
      <c r="G20" s="26">
        <v>100</v>
      </c>
      <c r="H20" s="26">
        <v>18</v>
      </c>
      <c r="I20" s="26">
        <v>1</v>
      </c>
      <c r="J20" s="26" t="s">
        <v>38</v>
      </c>
      <c r="K20" s="26" t="s">
        <v>22</v>
      </c>
      <c r="L20" s="28" t="s">
        <v>81</v>
      </c>
      <c r="M20" s="29">
        <f>ROUND(E20*F20*G20/4430/1000*4.43,3)</f>
        <v>0.875</v>
      </c>
      <c r="N20" s="30">
        <f>ROUND(M20*3800,2)</f>
        <v>3325</v>
      </c>
      <c r="O20" s="31" t="s">
        <v>82</v>
      </c>
    </row>
    <row r="21" spans="1:15" ht="18" customHeight="1" x14ac:dyDescent="0.3">
      <c r="A21" s="26">
        <v>17</v>
      </c>
      <c r="B21" s="27" t="s">
        <v>224</v>
      </c>
      <c r="C21" s="26" t="s">
        <v>73</v>
      </c>
      <c r="D21" s="26" t="s">
        <v>80</v>
      </c>
      <c r="E21" s="26">
        <v>250</v>
      </c>
      <c r="F21" s="26">
        <v>35</v>
      </c>
      <c r="G21" s="26">
        <v>100</v>
      </c>
      <c r="H21" s="26">
        <v>18</v>
      </c>
      <c r="I21" s="26">
        <v>1</v>
      </c>
      <c r="J21" s="26" t="s">
        <v>38</v>
      </c>
      <c r="K21" s="26" t="s">
        <v>22</v>
      </c>
      <c r="L21" s="28" t="s">
        <v>81</v>
      </c>
      <c r="M21" s="29">
        <f>ROUND(E21*F21*G21/4430/1000*4.43,3)</f>
        <v>0.875</v>
      </c>
      <c r="N21" s="30">
        <f>ROUND(M21*3800,2)</f>
        <v>3325</v>
      </c>
      <c r="O21" s="31" t="s">
        <v>82</v>
      </c>
    </row>
    <row r="22" spans="1:15" ht="18" customHeight="1" x14ac:dyDescent="0.3">
      <c r="A22" s="8"/>
      <c r="B22" s="9"/>
      <c r="C22" s="8"/>
      <c r="D22" s="8"/>
      <c r="E22" s="8"/>
      <c r="F22" s="8"/>
      <c r="G22" s="8"/>
      <c r="H22" s="8"/>
      <c r="I22" s="8"/>
      <c r="J22" s="8"/>
      <c r="K22" s="8"/>
      <c r="L22" s="10"/>
      <c r="M22" s="11"/>
      <c r="N22" s="12"/>
      <c r="O22" s="13"/>
    </row>
    <row r="23" spans="1:15" ht="18" customHeight="1" x14ac:dyDescent="0.3">
      <c r="A23" s="32"/>
      <c r="B23" s="33"/>
      <c r="C23" s="32"/>
      <c r="D23" s="32"/>
      <c r="E23" s="32"/>
      <c r="F23" s="32"/>
      <c r="G23" s="32"/>
      <c r="H23" s="32"/>
      <c r="I23" s="32"/>
      <c r="J23" s="32"/>
      <c r="K23" s="32"/>
      <c r="L23" s="34"/>
      <c r="M23" s="35"/>
      <c r="N23" s="36"/>
      <c r="O23" s="37"/>
    </row>
    <row r="24" spans="1:15" ht="22.05" customHeight="1" x14ac:dyDescent="0.3">
      <c r="A24" s="55" t="s">
        <v>85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38">
        <f>SUM(M4:M23)</f>
        <v>10.799000000000001</v>
      </c>
      <c r="N24" s="39">
        <f>SUM(N4:N23)</f>
        <v>8169.58</v>
      </c>
    </row>
  </sheetData>
  <mergeCells count="4">
    <mergeCell ref="A1:O1"/>
    <mergeCell ref="K2:O2"/>
    <mergeCell ref="A24:L24"/>
    <mergeCell ref="A2:J2"/>
  </mergeCells>
  <dataValidations count="4">
    <dataValidation type="list" showErrorMessage="1" errorTitle="Type Error" error="Invalid Part Type" sqref="C4:C23" xr:uid="{00000000-0002-0000-0000-000000000000}">
      <formula1>"Plate,Spur_Gear,Stepped_Shaft,Flanged_Shaft,Ring_Gear"</formula1>
    </dataValidation>
    <dataValidation type="list" showErrorMessage="1" errorTitle="Material Error" error="Unknown material" sqref="D4:D23" xr:uid="{00000000-0002-0000-0000-000001000000}">
      <formula1>"Steel-1020,Steel-4140,Al-6061,Brass-C360,Nylon-66,Ti-6Al-4V"</formula1>
    </dataValidation>
    <dataValidation type="list" allowBlank="1" sqref="J4:J23" xr:uid="{00000000-0002-0000-0000-000002000000}">
      <formula1>"High,Medium,Low"</formula1>
    </dataValidation>
    <dataValidation type="list" sqref="K4:K23" xr:uid="{00000000-0002-0000-0000-000003000000}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showGridLines="0" workbookViewId="0"/>
  </sheetViews>
  <sheetFormatPr defaultRowHeight="14.4" x14ac:dyDescent="0.3"/>
  <cols>
    <col min="1" max="1" width="14" customWidth="1"/>
    <col min="2" max="3" width="12" customWidth="1"/>
    <col min="4" max="7" width="20" customWidth="1"/>
    <col min="8" max="8" width="22" customWidth="1"/>
    <col min="9" max="9" width="18" customWidth="1"/>
  </cols>
  <sheetData>
    <row r="1" spans="1:9" ht="28.05" customHeight="1" x14ac:dyDescent="0.3">
      <c r="A1" s="57" t="s">
        <v>86</v>
      </c>
      <c r="B1" s="53"/>
      <c r="C1" s="53"/>
      <c r="D1" s="53"/>
      <c r="E1" s="53"/>
      <c r="F1" s="53"/>
      <c r="G1" s="53"/>
      <c r="H1" s="53"/>
      <c r="I1" s="53"/>
    </row>
    <row r="2" spans="1:9" ht="22.05" customHeight="1" x14ac:dyDescent="0.3">
      <c r="A2" s="40" t="s">
        <v>5</v>
      </c>
      <c r="B2" s="40" t="s">
        <v>7</v>
      </c>
      <c r="C2" s="40" t="s">
        <v>8</v>
      </c>
      <c r="D2" s="40" t="s">
        <v>9</v>
      </c>
      <c r="E2" s="40" t="s">
        <v>10</v>
      </c>
      <c r="F2" s="40" t="s">
        <v>87</v>
      </c>
      <c r="G2" s="40" t="s">
        <v>88</v>
      </c>
      <c r="H2" s="40" t="s">
        <v>89</v>
      </c>
      <c r="I2" s="40" t="s">
        <v>90</v>
      </c>
    </row>
    <row r="3" spans="1:9" ht="30" customHeight="1" x14ac:dyDescent="0.3">
      <c r="A3" s="3" t="s">
        <v>19</v>
      </c>
      <c r="B3" s="2" t="s">
        <v>91</v>
      </c>
      <c r="C3" s="2" t="s">
        <v>92</v>
      </c>
      <c r="D3" s="2" t="s">
        <v>93</v>
      </c>
      <c r="E3" s="2" t="s">
        <v>94</v>
      </c>
      <c r="F3" s="4" t="s">
        <v>95</v>
      </c>
      <c r="G3" s="4" t="s">
        <v>95</v>
      </c>
      <c r="H3" s="4" t="s">
        <v>96</v>
      </c>
      <c r="I3" s="4" t="s">
        <v>97</v>
      </c>
    </row>
    <row r="4" spans="1:9" ht="30" customHeight="1" x14ac:dyDescent="0.3">
      <c r="A4" s="9" t="s">
        <v>42</v>
      </c>
      <c r="B4" s="8" t="s">
        <v>98</v>
      </c>
      <c r="C4" s="8" t="s">
        <v>99</v>
      </c>
      <c r="D4" s="8" t="s">
        <v>100</v>
      </c>
      <c r="E4" s="8" t="s">
        <v>101</v>
      </c>
      <c r="F4" s="10" t="s">
        <v>102</v>
      </c>
      <c r="G4" s="10" t="s">
        <v>103</v>
      </c>
      <c r="H4" s="10" t="s">
        <v>104</v>
      </c>
      <c r="I4" s="10" t="s">
        <v>105</v>
      </c>
    </row>
    <row r="5" spans="1:9" ht="30" customHeight="1" x14ac:dyDescent="0.3">
      <c r="A5" s="21" t="s">
        <v>63</v>
      </c>
      <c r="B5" s="20" t="s">
        <v>106</v>
      </c>
      <c r="C5" s="20" t="s">
        <v>107</v>
      </c>
      <c r="D5" s="20" t="s">
        <v>108</v>
      </c>
      <c r="E5" s="20" t="s">
        <v>109</v>
      </c>
      <c r="F5" s="22" t="s">
        <v>110</v>
      </c>
      <c r="G5" s="22" t="s">
        <v>111</v>
      </c>
      <c r="H5" s="22" t="s">
        <v>112</v>
      </c>
      <c r="I5" s="22" t="s">
        <v>113</v>
      </c>
    </row>
    <row r="6" spans="1:9" ht="30" customHeight="1" x14ac:dyDescent="0.3">
      <c r="A6" s="27" t="s">
        <v>73</v>
      </c>
      <c r="B6" s="26" t="s">
        <v>114</v>
      </c>
      <c r="C6" s="26" t="s">
        <v>115</v>
      </c>
      <c r="D6" s="26" t="s">
        <v>116</v>
      </c>
      <c r="E6" s="26" t="s">
        <v>117</v>
      </c>
      <c r="F6" s="28" t="s">
        <v>118</v>
      </c>
      <c r="G6" s="28" t="s">
        <v>111</v>
      </c>
      <c r="H6" s="28" t="s">
        <v>119</v>
      </c>
      <c r="I6" s="28" t="s">
        <v>120</v>
      </c>
    </row>
    <row r="7" spans="1:9" ht="30" customHeight="1" x14ac:dyDescent="0.3">
      <c r="A7" s="15" t="s">
        <v>56</v>
      </c>
      <c r="B7" s="14" t="s">
        <v>98</v>
      </c>
      <c r="C7" s="14" t="s">
        <v>99</v>
      </c>
      <c r="D7" s="14" t="s">
        <v>100</v>
      </c>
      <c r="E7" s="14" t="s">
        <v>121</v>
      </c>
      <c r="F7" s="16" t="s">
        <v>122</v>
      </c>
      <c r="G7" s="16" t="s">
        <v>103</v>
      </c>
      <c r="H7" s="16" t="s">
        <v>123</v>
      </c>
      <c r="I7" s="16" t="s">
        <v>124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showGridLines="0" workbookViewId="0"/>
  </sheetViews>
  <sheetFormatPr defaultRowHeight="14.4" x14ac:dyDescent="0.3"/>
  <cols>
    <col min="1" max="1" width="14" customWidth="1"/>
    <col min="2" max="5" width="12" customWidth="1"/>
    <col min="6" max="6" width="14" customWidth="1"/>
    <col min="7" max="7" width="16" customWidth="1"/>
    <col min="8" max="8" width="20" customWidth="1"/>
    <col min="9" max="9" width="22" customWidth="1"/>
  </cols>
  <sheetData>
    <row r="1" spans="1:9" ht="28.05" customHeight="1" x14ac:dyDescent="0.3">
      <c r="A1" s="57" t="s">
        <v>125</v>
      </c>
      <c r="B1" s="53"/>
      <c r="C1" s="53"/>
      <c r="D1" s="53"/>
      <c r="E1" s="53"/>
      <c r="F1" s="53"/>
      <c r="G1" s="53"/>
      <c r="H1" s="53"/>
      <c r="I1" s="53"/>
    </row>
    <row r="2" spans="1:9" ht="27.6" x14ac:dyDescent="0.3">
      <c r="A2" s="40" t="s">
        <v>126</v>
      </c>
      <c r="B2" s="40" t="s">
        <v>127</v>
      </c>
      <c r="C2" s="40" t="s">
        <v>128</v>
      </c>
      <c r="D2" s="40" t="s">
        <v>129</v>
      </c>
      <c r="E2" s="40" t="s">
        <v>130</v>
      </c>
      <c r="F2" s="40" t="s">
        <v>131</v>
      </c>
      <c r="G2" s="40" t="s">
        <v>132</v>
      </c>
      <c r="H2" s="40" t="s">
        <v>133</v>
      </c>
      <c r="I2" s="40" t="s">
        <v>17</v>
      </c>
    </row>
    <row r="3" spans="1:9" ht="19.95" customHeight="1" x14ac:dyDescent="0.3">
      <c r="A3" s="41" t="s">
        <v>20</v>
      </c>
      <c r="B3" s="42">
        <v>7.87</v>
      </c>
      <c r="C3" s="42">
        <v>420</v>
      </c>
      <c r="D3" s="42">
        <v>350</v>
      </c>
      <c r="E3" s="42">
        <v>125</v>
      </c>
      <c r="F3" s="42" t="s">
        <v>134</v>
      </c>
      <c r="G3" s="43" t="s">
        <v>134</v>
      </c>
      <c r="H3" s="43" t="s">
        <v>135</v>
      </c>
      <c r="I3" s="43" t="s">
        <v>136</v>
      </c>
    </row>
    <row r="4" spans="1:9" ht="19.95" customHeight="1" x14ac:dyDescent="0.3">
      <c r="A4" s="44" t="s">
        <v>34</v>
      </c>
      <c r="B4" s="45">
        <v>7.85</v>
      </c>
      <c r="C4" s="45">
        <v>1000</v>
      </c>
      <c r="D4" s="45">
        <v>850</v>
      </c>
      <c r="E4" s="45">
        <v>185</v>
      </c>
      <c r="F4" s="45" t="s">
        <v>137</v>
      </c>
      <c r="G4" s="46" t="s">
        <v>137</v>
      </c>
      <c r="H4" s="46" t="s">
        <v>138</v>
      </c>
      <c r="I4" s="46" t="s">
        <v>139</v>
      </c>
    </row>
    <row r="5" spans="1:9" ht="19.95" customHeight="1" x14ac:dyDescent="0.3">
      <c r="A5" s="41" t="s">
        <v>26</v>
      </c>
      <c r="B5" s="42">
        <v>2.7</v>
      </c>
      <c r="C5" s="42">
        <v>310</v>
      </c>
      <c r="D5" s="42">
        <v>276</v>
      </c>
      <c r="E5" s="42">
        <v>265</v>
      </c>
      <c r="F5" s="42" t="s">
        <v>134</v>
      </c>
      <c r="G5" s="43" t="s">
        <v>137</v>
      </c>
      <c r="H5" s="43" t="s">
        <v>140</v>
      </c>
      <c r="I5" s="43" t="s">
        <v>141</v>
      </c>
    </row>
    <row r="6" spans="1:9" ht="19.95" customHeight="1" x14ac:dyDescent="0.3">
      <c r="A6" s="44" t="s">
        <v>142</v>
      </c>
      <c r="B6" s="45">
        <v>8.5</v>
      </c>
      <c r="C6" s="45">
        <v>385</v>
      </c>
      <c r="D6" s="45">
        <v>310</v>
      </c>
      <c r="E6" s="45">
        <v>520</v>
      </c>
      <c r="F6" s="45" t="s">
        <v>134</v>
      </c>
      <c r="G6" s="46" t="s">
        <v>143</v>
      </c>
      <c r="H6" s="46" t="s">
        <v>144</v>
      </c>
      <c r="I6" s="46" t="s">
        <v>145</v>
      </c>
    </row>
    <row r="7" spans="1:9" ht="19.95" customHeight="1" x14ac:dyDescent="0.3">
      <c r="A7" s="41" t="s">
        <v>52</v>
      </c>
      <c r="B7" s="42">
        <v>1.1399999999999999</v>
      </c>
      <c r="C7" s="42">
        <v>85</v>
      </c>
      <c r="D7" s="42">
        <v>60</v>
      </c>
      <c r="E7" s="42">
        <v>415</v>
      </c>
      <c r="F7" s="42" t="s">
        <v>137</v>
      </c>
      <c r="G7" s="43" t="s">
        <v>146</v>
      </c>
      <c r="H7" s="43" t="s">
        <v>147</v>
      </c>
      <c r="I7" s="43" t="s">
        <v>148</v>
      </c>
    </row>
    <row r="8" spans="1:9" ht="19.95" customHeight="1" x14ac:dyDescent="0.3">
      <c r="A8" s="44" t="s">
        <v>80</v>
      </c>
      <c r="B8" s="45">
        <v>4.43</v>
      </c>
      <c r="C8" s="45">
        <v>950</v>
      </c>
      <c r="D8" s="45">
        <v>880</v>
      </c>
      <c r="E8" s="45">
        <v>3800</v>
      </c>
      <c r="F8" s="45" t="s">
        <v>143</v>
      </c>
      <c r="G8" s="46" t="s">
        <v>149</v>
      </c>
      <c r="H8" s="46" t="s">
        <v>150</v>
      </c>
      <c r="I8" s="46" t="s">
        <v>151</v>
      </c>
    </row>
    <row r="10" spans="1:9" x14ac:dyDescent="0.3">
      <c r="A10" s="58" t="s">
        <v>152</v>
      </c>
      <c r="B10" s="53"/>
      <c r="C10" s="53"/>
      <c r="D10" s="53"/>
      <c r="E10" s="53"/>
      <c r="F10" s="53"/>
      <c r="G10" s="53"/>
      <c r="H10" s="53"/>
      <c r="I10" s="53"/>
    </row>
  </sheetData>
  <mergeCells count="2">
    <mergeCell ref="A1:I1"/>
    <mergeCell ref="A10:I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showGridLines="0" workbookViewId="0"/>
  </sheetViews>
  <sheetFormatPr defaultRowHeight="14.4" x14ac:dyDescent="0.3"/>
  <cols>
    <col min="1" max="1" width="5" customWidth="1"/>
    <col min="2" max="2" width="16" customWidth="1"/>
    <col min="3" max="3" width="14" customWidth="1"/>
    <col min="4" max="4" width="28" customWidth="1"/>
    <col min="5" max="5" width="20" customWidth="1"/>
    <col min="6" max="6" width="12" customWidth="1"/>
    <col min="7" max="7" width="22" customWidth="1"/>
  </cols>
  <sheetData>
    <row r="1" spans="1:7" ht="28.05" customHeight="1" x14ac:dyDescent="0.3">
      <c r="A1" s="57" t="s">
        <v>153</v>
      </c>
      <c r="B1" s="53"/>
      <c r="C1" s="53"/>
      <c r="D1" s="53"/>
      <c r="E1" s="53"/>
      <c r="F1" s="53"/>
      <c r="G1" s="53"/>
    </row>
    <row r="2" spans="1:7" x14ac:dyDescent="0.3">
      <c r="A2" s="40" t="s">
        <v>3</v>
      </c>
      <c r="B2" s="40" t="s">
        <v>154</v>
      </c>
      <c r="C2" s="40" t="s">
        <v>155</v>
      </c>
      <c r="D2" s="40" t="s">
        <v>156</v>
      </c>
      <c r="E2" s="40" t="s">
        <v>157</v>
      </c>
      <c r="F2" s="40" t="s">
        <v>158</v>
      </c>
      <c r="G2" s="40" t="s">
        <v>159</v>
      </c>
    </row>
    <row r="3" spans="1:7" ht="19.95" customHeight="1" x14ac:dyDescent="0.3">
      <c r="A3" s="47">
        <v>1</v>
      </c>
      <c r="B3" s="47" t="s">
        <v>160</v>
      </c>
      <c r="C3" s="48" t="s">
        <v>161</v>
      </c>
      <c r="D3" s="49" t="s">
        <v>162</v>
      </c>
      <c r="E3" s="49" t="s">
        <v>163</v>
      </c>
      <c r="F3" s="47" t="s">
        <v>164</v>
      </c>
      <c r="G3" s="49" t="s">
        <v>165</v>
      </c>
    </row>
    <row r="4" spans="1:7" ht="19.95" customHeight="1" x14ac:dyDescent="0.3">
      <c r="A4" s="47">
        <v>2</v>
      </c>
      <c r="B4" s="47" t="s">
        <v>160</v>
      </c>
      <c r="C4" s="48" t="s">
        <v>161</v>
      </c>
      <c r="D4" s="49" t="s">
        <v>166</v>
      </c>
      <c r="E4" s="49" t="s">
        <v>167</v>
      </c>
      <c r="F4" s="47" t="s">
        <v>164</v>
      </c>
      <c r="G4" s="49" t="s">
        <v>165</v>
      </c>
    </row>
    <row r="5" spans="1:7" ht="19.95" customHeight="1" x14ac:dyDescent="0.3">
      <c r="A5" s="20">
        <v>3</v>
      </c>
      <c r="B5" s="20" t="s">
        <v>160</v>
      </c>
      <c r="C5" s="50" t="s">
        <v>168</v>
      </c>
      <c r="D5" s="22" t="s">
        <v>169</v>
      </c>
      <c r="E5" s="22" t="s">
        <v>170</v>
      </c>
      <c r="F5" s="20" t="s">
        <v>171</v>
      </c>
      <c r="G5" s="22" t="s">
        <v>172</v>
      </c>
    </row>
    <row r="6" spans="1:7" ht="19.95" customHeight="1" x14ac:dyDescent="0.3">
      <c r="A6" s="47">
        <v>4</v>
      </c>
      <c r="B6" s="47" t="s">
        <v>19</v>
      </c>
      <c r="C6" s="48" t="s">
        <v>161</v>
      </c>
      <c r="D6" s="49" t="s">
        <v>173</v>
      </c>
      <c r="E6" s="49" t="s">
        <v>174</v>
      </c>
      <c r="F6" s="47" t="s">
        <v>164</v>
      </c>
      <c r="G6" s="49" t="s">
        <v>165</v>
      </c>
    </row>
    <row r="7" spans="1:7" ht="19.95" customHeight="1" x14ac:dyDescent="0.3">
      <c r="A7" s="20">
        <v>5</v>
      </c>
      <c r="B7" s="20" t="s">
        <v>19</v>
      </c>
      <c r="C7" s="50" t="s">
        <v>168</v>
      </c>
      <c r="D7" s="22" t="s">
        <v>175</v>
      </c>
      <c r="E7" s="22" t="s">
        <v>176</v>
      </c>
      <c r="F7" s="20" t="s">
        <v>164</v>
      </c>
      <c r="G7" s="22" t="s">
        <v>177</v>
      </c>
    </row>
    <row r="8" spans="1:7" ht="19.95" customHeight="1" x14ac:dyDescent="0.3">
      <c r="A8" s="20">
        <v>6</v>
      </c>
      <c r="B8" s="20" t="s">
        <v>19</v>
      </c>
      <c r="C8" s="50" t="s">
        <v>168</v>
      </c>
      <c r="D8" s="22" t="s">
        <v>178</v>
      </c>
      <c r="E8" s="22" t="s">
        <v>179</v>
      </c>
      <c r="F8" s="20" t="s">
        <v>164</v>
      </c>
      <c r="G8" s="22" t="s">
        <v>177</v>
      </c>
    </row>
    <row r="9" spans="1:7" ht="19.95" customHeight="1" x14ac:dyDescent="0.3">
      <c r="A9" s="47">
        <v>7</v>
      </c>
      <c r="B9" s="47" t="s">
        <v>42</v>
      </c>
      <c r="C9" s="48" t="s">
        <v>161</v>
      </c>
      <c r="D9" s="49" t="s">
        <v>180</v>
      </c>
      <c r="E9" s="49" t="s">
        <v>181</v>
      </c>
      <c r="F9" s="47" t="s">
        <v>164</v>
      </c>
      <c r="G9" s="49" t="s">
        <v>165</v>
      </c>
    </row>
    <row r="10" spans="1:7" ht="19.95" customHeight="1" x14ac:dyDescent="0.3">
      <c r="A10" s="20">
        <v>8</v>
      </c>
      <c r="B10" s="20" t="s">
        <v>42</v>
      </c>
      <c r="C10" s="50" t="s">
        <v>168</v>
      </c>
      <c r="D10" s="22" t="s">
        <v>182</v>
      </c>
      <c r="E10" s="22" t="s">
        <v>183</v>
      </c>
      <c r="F10" s="20" t="s">
        <v>164</v>
      </c>
      <c r="G10" s="22" t="s">
        <v>177</v>
      </c>
    </row>
    <row r="11" spans="1:7" ht="19.95" customHeight="1" x14ac:dyDescent="0.3">
      <c r="A11" s="8">
        <v>9</v>
      </c>
      <c r="B11" s="8" t="s">
        <v>42</v>
      </c>
      <c r="C11" s="51" t="s">
        <v>184</v>
      </c>
      <c r="D11" s="10" t="s">
        <v>185</v>
      </c>
      <c r="E11" s="10" t="s">
        <v>186</v>
      </c>
      <c r="F11" s="8" t="s">
        <v>164</v>
      </c>
      <c r="G11" s="10" t="s">
        <v>187</v>
      </c>
    </row>
    <row r="12" spans="1:7" ht="19.95" customHeight="1" x14ac:dyDescent="0.3">
      <c r="A12" s="20">
        <v>10</v>
      </c>
      <c r="B12" s="20" t="s">
        <v>63</v>
      </c>
      <c r="C12" s="50" t="s">
        <v>168</v>
      </c>
      <c r="D12" s="22" t="s">
        <v>188</v>
      </c>
      <c r="E12" s="22" t="s">
        <v>189</v>
      </c>
      <c r="F12" s="20" t="s">
        <v>164</v>
      </c>
      <c r="G12" s="22" t="s">
        <v>177</v>
      </c>
    </row>
    <row r="13" spans="1:7" ht="19.95" customHeight="1" x14ac:dyDescent="0.3">
      <c r="A13" s="20">
        <v>11</v>
      </c>
      <c r="B13" s="20" t="s">
        <v>63</v>
      </c>
      <c r="C13" s="50" t="s">
        <v>168</v>
      </c>
      <c r="D13" s="22" t="s">
        <v>190</v>
      </c>
      <c r="E13" s="22" t="s">
        <v>191</v>
      </c>
      <c r="F13" s="20" t="s">
        <v>164</v>
      </c>
      <c r="G13" s="22" t="s">
        <v>177</v>
      </c>
    </row>
    <row r="14" spans="1:7" ht="19.95" customHeight="1" x14ac:dyDescent="0.3">
      <c r="A14" s="47">
        <v>12</v>
      </c>
      <c r="B14" s="47" t="s">
        <v>73</v>
      </c>
      <c r="C14" s="48" t="s">
        <v>161</v>
      </c>
      <c r="D14" s="49" t="s">
        <v>192</v>
      </c>
      <c r="E14" s="49" t="s">
        <v>193</v>
      </c>
      <c r="F14" s="47" t="s">
        <v>164</v>
      </c>
      <c r="G14" s="49" t="s">
        <v>165</v>
      </c>
    </row>
    <row r="15" spans="1:7" ht="19.95" customHeight="1" x14ac:dyDescent="0.3">
      <c r="A15" s="47">
        <v>13</v>
      </c>
      <c r="B15" s="47" t="s">
        <v>73</v>
      </c>
      <c r="C15" s="48" t="s">
        <v>161</v>
      </c>
      <c r="D15" s="49" t="s">
        <v>194</v>
      </c>
      <c r="E15" s="49" t="s">
        <v>195</v>
      </c>
      <c r="F15" s="47" t="s">
        <v>164</v>
      </c>
      <c r="G15" s="49" t="s">
        <v>165</v>
      </c>
    </row>
    <row r="16" spans="1:7" ht="19.95" customHeight="1" x14ac:dyDescent="0.3">
      <c r="A16" s="47">
        <v>14</v>
      </c>
      <c r="B16" s="47" t="s">
        <v>56</v>
      </c>
      <c r="C16" s="48" t="s">
        <v>161</v>
      </c>
      <c r="D16" s="49" t="s">
        <v>196</v>
      </c>
      <c r="E16" s="49" t="s">
        <v>197</v>
      </c>
      <c r="F16" s="47" t="s">
        <v>164</v>
      </c>
      <c r="G16" s="49" t="s">
        <v>165</v>
      </c>
    </row>
    <row r="17" spans="1:7" ht="19.95" customHeight="1" x14ac:dyDescent="0.3">
      <c r="A17" s="8">
        <v>15</v>
      </c>
      <c r="B17" s="8" t="s">
        <v>160</v>
      </c>
      <c r="C17" s="51" t="s">
        <v>184</v>
      </c>
      <c r="D17" s="10" t="s">
        <v>198</v>
      </c>
      <c r="E17" s="10" t="s">
        <v>199</v>
      </c>
      <c r="F17" s="8" t="s">
        <v>164</v>
      </c>
      <c r="G17" s="10" t="s">
        <v>165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showGridLines="0" workbookViewId="0"/>
  </sheetViews>
  <sheetFormatPr defaultRowHeight="14.4" x14ac:dyDescent="0.3"/>
  <cols>
    <col min="1" max="1" width="5" customWidth="1"/>
    <col min="2" max="3" width="12" customWidth="1"/>
    <col min="4" max="4" width="16" customWidth="1"/>
    <col min="5" max="5" width="20" customWidth="1"/>
    <col min="6" max="6" width="40" customWidth="1"/>
  </cols>
  <sheetData>
    <row r="1" spans="1:6" ht="28.05" customHeight="1" x14ac:dyDescent="0.3">
      <c r="A1" s="57" t="s">
        <v>200</v>
      </c>
      <c r="B1" s="53"/>
      <c r="C1" s="53"/>
      <c r="D1" s="53"/>
      <c r="E1" s="53"/>
      <c r="F1" s="53"/>
    </row>
    <row r="2" spans="1:6" x14ac:dyDescent="0.3">
      <c r="A2" s="40" t="s">
        <v>201</v>
      </c>
      <c r="B2" s="40" t="s">
        <v>202</v>
      </c>
      <c r="C2" s="40" t="s">
        <v>203</v>
      </c>
      <c r="D2" s="40" t="s">
        <v>204</v>
      </c>
      <c r="E2" s="40" t="s">
        <v>205</v>
      </c>
      <c r="F2" s="40" t="s">
        <v>14</v>
      </c>
    </row>
    <row r="3" spans="1:6" ht="19.95" customHeight="1" x14ac:dyDescent="0.3">
      <c r="A3" s="42" t="s">
        <v>206</v>
      </c>
      <c r="B3" s="42" t="s">
        <v>207</v>
      </c>
      <c r="C3" s="42" t="s">
        <v>208</v>
      </c>
      <c r="D3" s="42" t="s">
        <v>160</v>
      </c>
      <c r="E3" s="43" t="s">
        <v>209</v>
      </c>
      <c r="F3" s="43" t="s">
        <v>210</v>
      </c>
    </row>
    <row r="4" spans="1:6" ht="19.95" customHeight="1" x14ac:dyDescent="0.3">
      <c r="A4" s="45" t="s">
        <v>211</v>
      </c>
      <c r="B4" s="45" t="s">
        <v>212</v>
      </c>
      <c r="C4" s="45" t="s">
        <v>208</v>
      </c>
      <c r="D4" s="45" t="s">
        <v>213</v>
      </c>
      <c r="E4" s="46" t="s">
        <v>214</v>
      </c>
      <c r="F4" s="46" t="s">
        <v>215</v>
      </c>
    </row>
    <row r="5" spans="1:6" ht="19.95" customHeight="1" x14ac:dyDescent="0.3">
      <c r="A5" s="42" t="s">
        <v>211</v>
      </c>
      <c r="B5" s="42" t="s">
        <v>212</v>
      </c>
      <c r="C5" s="42" t="s">
        <v>216</v>
      </c>
      <c r="D5" s="42" t="s">
        <v>83</v>
      </c>
      <c r="E5" s="43" t="s">
        <v>217</v>
      </c>
      <c r="F5" s="43" t="s">
        <v>218</v>
      </c>
    </row>
    <row r="6" spans="1:6" ht="19.95" customHeight="1" x14ac:dyDescent="0.3">
      <c r="A6" s="45" t="s">
        <v>211</v>
      </c>
      <c r="B6" s="45" t="s">
        <v>212</v>
      </c>
      <c r="C6" s="45" t="s">
        <v>216</v>
      </c>
      <c r="D6" s="45" t="s">
        <v>84</v>
      </c>
      <c r="E6" s="46" t="s">
        <v>219</v>
      </c>
      <c r="F6" s="46" t="s">
        <v>220</v>
      </c>
    </row>
    <row r="7" spans="1:6" ht="19.95" customHeight="1" x14ac:dyDescent="0.3">
      <c r="A7" s="42" t="s">
        <v>211</v>
      </c>
      <c r="B7" s="42" t="s">
        <v>212</v>
      </c>
      <c r="C7" s="42" t="s">
        <v>216</v>
      </c>
      <c r="D7" s="42" t="s">
        <v>221</v>
      </c>
      <c r="E7" s="43" t="s">
        <v>222</v>
      </c>
      <c r="F7" s="43" t="s">
        <v>223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BOM</vt:lpstr>
      <vt:lpstr>PartTypes</vt:lpstr>
      <vt:lpstr>Materials</vt:lpstr>
      <vt:lpstr>ValidationRules</vt:lpstr>
      <vt:lpstr>ChangeLog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Swaksha R</cp:lastModifiedBy>
  <dcterms:created xsi:type="dcterms:W3CDTF">2026-03-05T09:04:51Z</dcterms:created>
  <dcterms:modified xsi:type="dcterms:W3CDTF">2026-03-05T12:24:38Z</dcterms:modified>
</cp:coreProperties>
</file>