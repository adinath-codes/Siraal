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din\Documents\Adi Heavy\Siraal\excels\"/>
    </mc:Choice>
  </mc:AlternateContent>
  <xr:revisionPtr revIDLastSave="0" documentId="13_ncr:1_{A63BFAA1-BC17-4055-BDF2-EE1644ACFE8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OM_Gears" sheetId="1" r:id="rId1"/>
    <sheet name="GearTypes" sheetId="2" r:id="rId2"/>
    <sheet name="GearPairings" sheetId="3" r:id="rId3"/>
    <sheet name="Materials" sheetId="4" r:id="rId4"/>
    <sheet name="ChangeLog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3" l="1"/>
  <c r="F8" i="3"/>
  <c r="G7" i="3"/>
  <c r="F7" i="3"/>
  <c r="G5" i="3"/>
  <c r="F5" i="3"/>
  <c r="G4" i="3"/>
  <c r="F4" i="3"/>
  <c r="G3" i="3"/>
  <c r="F3" i="3"/>
  <c r="M5" i="1"/>
  <c r="N5" i="1" s="1"/>
  <c r="M4" i="1"/>
  <c r="N4" i="1" s="1"/>
  <c r="M25" i="1" l="1"/>
  <c r="N25" i="1"/>
</calcChain>
</file>

<file path=xl/sharedStrings.xml><?xml version="1.0" encoding="utf-8"?>
<sst xmlns="http://schemas.openxmlformats.org/spreadsheetml/2006/main" count="191" uniqueCount="144">
  <si>
    <t>SIRAAL 3D GEAR ENGINE — GEAR BILL OF MATERIALS</t>
  </si>
  <si>
    <t>IS 2535 / ISO 1328  |  Involute 20°  |  1st Angle  |  TN-IMPACT 2026</t>
  </si>
  <si>
    <t>P1 = Teeth Z (or N_starts for Worm)  |  P2 = Module m (mm)  |  P3 = Face Width (mm)  |  P4 = Bore Dia (mm) or Ring Thk</t>
  </si>
  <si>
    <t>#</t>
  </si>
  <si>
    <t>Part_Number</t>
  </si>
  <si>
    <t>Part_Type</t>
  </si>
  <si>
    <t>Material</t>
  </si>
  <si>
    <t>Param_1
(Z / Starts)</t>
  </si>
  <si>
    <t>Param_2
(Module m)</t>
  </si>
  <si>
    <t>Param_3
(Face Width)</t>
  </si>
  <si>
    <t>Param_4
(Bore Dia)</t>
  </si>
  <si>
    <t>Qty</t>
  </si>
  <si>
    <t>Priority</t>
  </si>
  <si>
    <t>Enabled</t>
  </si>
  <si>
    <t>Description</t>
  </si>
  <si>
    <t>Mass_kg</t>
  </si>
  <si>
    <t>Est_Cost
(Rs)</t>
  </si>
  <si>
    <t>Notes</t>
  </si>
  <si>
    <t>GR-SP-001-PINION</t>
  </si>
  <si>
    <t>Spur_Gear_3D</t>
  </si>
  <si>
    <t>Steel-4140</t>
  </si>
  <si>
    <t>High</t>
  </si>
  <si>
    <t>YES</t>
  </si>
  <si>
    <t>Spur pinion  Z=18  m=3  FW=30mm</t>
  </si>
  <si>
    <t>Ground hobbed; AGMA Q10; keyway 6×3.5</t>
  </si>
  <si>
    <t>GR-SP-002-WHEEL</t>
  </si>
  <si>
    <t>Steel-1020</t>
  </si>
  <si>
    <t>Spur wheel  Z=54  m=3  ratio=1:3</t>
  </si>
  <si>
    <t>Hobbed; bore H7; check tip clearance</t>
  </si>
  <si>
    <t>Al-6061</t>
  </si>
  <si>
    <t>Medium</t>
  </si>
  <si>
    <t>GR-HL-001-DRIVE</t>
  </si>
  <si>
    <t>Helical_Gear</t>
  </si>
  <si>
    <t>GR-HL-002-DRIVEN</t>
  </si>
  <si>
    <t>GR-RG-001-PLANET</t>
  </si>
  <si>
    <t>Ring_Gear_3D</t>
  </si>
  <si>
    <t>GR-BV-001-MITER</t>
  </si>
  <si>
    <t>Bevel_Gear</t>
  </si>
  <si>
    <t>GR-WM-001-WORM</t>
  </si>
  <si>
    <t>Worm</t>
  </si>
  <si>
    <t>GR-WM-001-WHEEL</t>
  </si>
  <si>
    <t>Worm_Wheel</t>
  </si>
  <si>
    <t>Brass-C360</t>
  </si>
  <si>
    <t>GR-WM-002-WORM</t>
  </si>
  <si>
    <t>GR-WM-002-WHEEL</t>
  </si>
  <si>
    <t>GR-WARN-001</t>
  </si>
  <si>
    <t>GR-SKIP-001</t>
  </si>
  <si>
    <t>TOTALS (all enabled):</t>
  </si>
  <si>
    <t>GEAR TYPE REFERENCE — Parameter Meanings, ISO Standards &amp; Engineering Rules</t>
  </si>
  <si>
    <t>Param_1</t>
  </si>
  <si>
    <t>Param_2</t>
  </si>
  <si>
    <t>Param_3</t>
  </si>
  <si>
    <t>Param_4</t>
  </si>
  <si>
    <t>ISO Standard</t>
  </si>
  <si>
    <t>3D Construction</t>
  </si>
  <si>
    <t>Key Engineering Rules</t>
  </si>
  <si>
    <t>Teeth Z</t>
  </si>
  <si>
    <t>Module m (mm)</t>
  </si>
  <si>
    <t>FaceWidth (mm)</t>
  </si>
  <si>
    <t>Bore Dia (mm)</t>
  </si>
  <si>
    <t>IS 2535 / DIN 3960</t>
  </si>
  <si>
    <t>Involute profile polyline × Z teeth → AddExtrudedSolid → Boolean bore + keyway</t>
  </si>
  <si>
    <t>PA=20°; Z≥17 avoids undercut; addendum=m; dedendum=1.25m; keyway per DIN 6885</t>
  </si>
  <si>
    <t>IS 3756 / DIN 3960</t>
  </si>
  <si>
    <t>8-slice stack: each slice rotated Δθ = FW/R_pitch×tan(helix)/8 → unioned</t>
  </si>
  <si>
    <t>Normal module = transverse module; helix 15°RH generates axial thrust</t>
  </si>
  <si>
    <t>Teeth Z (internal)</t>
  </si>
  <si>
    <t>Ring Thickness (mm)</t>
  </si>
  <si>
    <t>IS 2535 / ISO 6336</t>
  </si>
  <si>
    <t>Outer disc cylinder − internal involute void (extruded external profile subtracted)</t>
  </si>
  <si>
    <t>P4 = ring wall thickness (not bore); addendum on inside; planet must mesh correctly</t>
  </si>
  <si>
    <t>IS 1370 / AGMA 929</t>
  </si>
  <si>
    <t>AddFrustum pitch cone + N tooth-ridge boxes on cone surface; bore subtracted</t>
  </si>
  <si>
    <t>cone_angle=45° (miter); back_R=pitch_R; front_R=pitch_R−FW×sin45°; matched pairs</t>
  </si>
  <si>
    <t>N_starts</t>
  </si>
  <si>
    <t>Length (mm)</t>
  </si>
  <si>
    <t>IS 3734 / DIN 3975</t>
  </si>
  <si>
    <t>Shaft cylinder + AddTorus thread rings at each axial pitch (π×m) interval</t>
  </si>
  <si>
    <t>Lead=N_starts×π×m; self-locking if lead_angle&lt;friction_angle; match Worm_Wheel module</t>
  </si>
  <si>
    <t>Disc + involute tooth ring + concave throat (torus subtract); bore subtracted</t>
  </si>
  <si>
    <t>Throat R matches worm pitch radius; always specify same module as paired Worm</t>
  </si>
  <si>
    <t>GEAR PAIR ASSEMBLIES — Meshing Verification</t>
  </si>
  <si>
    <t>Pair</t>
  </si>
  <si>
    <t>Gear 1</t>
  </si>
  <si>
    <t>Gear 2</t>
  </si>
  <si>
    <t>Z1</t>
  </si>
  <si>
    <t>Z2</t>
  </si>
  <si>
    <t>Ratio</t>
  </si>
  <si>
    <t>Centre Dist (mm)</t>
  </si>
  <si>
    <t>Spur 1:3  stage 1</t>
  </si>
  <si>
    <t>Helical opposed-helix pair</t>
  </si>
  <si>
    <t>Planetary ring/sun</t>
  </si>
  <si>
    <t>1:1</t>
  </si>
  <si>
    <t>Intersect axis</t>
  </si>
  <si>
    <t>Miter 90° axis cross</t>
  </si>
  <si>
    <t>Worm drive 1:15</t>
  </si>
  <si>
    <t>Worm drive 1:40</t>
  </si>
  <si>
    <t>MATERIAL DATABASE — Gear Manufacturing</t>
  </si>
  <si>
    <t>Material_ID</t>
  </si>
  <si>
    <t>Density
(g/cm³)</t>
  </si>
  <si>
    <t>UTS
(MPa)</t>
  </si>
  <si>
    <t>Yield
(MPa)</t>
  </si>
  <si>
    <t>Cost
(Rs/kg)</t>
  </si>
  <si>
    <t>Machinability</t>
  </si>
  <si>
    <t>Typical Gear Use</t>
  </si>
  <si>
    <t>Excellent</t>
  </si>
  <si>
    <t>Spur/helical wheels, spacers</t>
  </si>
  <si>
    <t>General purpose; normalised; easy to machine</t>
  </si>
  <si>
    <t>Good</t>
  </si>
  <si>
    <t>Pinions, bevel, worm shafts</t>
  </si>
  <si>
    <t>Q+T condition; 28-34 HRC; case-harden to 58HRC</t>
  </si>
  <si>
    <t>Lightweight helical, idlers</t>
  </si>
  <si>
    <t>T6 temper; anodise bore; no heavy-load</t>
  </si>
  <si>
    <t>Worm wheels (all)</t>
  </si>
  <si>
    <t>CuZn33 free-cutting; excellent against steel worm</t>
  </si>
  <si>
    <t>Nylon-66</t>
  </si>
  <si>
    <t>Low-load spur gears, idlers</t>
  </si>
  <si>
    <t>Self-lubricating; absorbs shock; ±0.05mm tol</t>
  </si>
  <si>
    <t>CHANGE LOG — SIRAAL GEAR BOM REVISION HISTORY</t>
  </si>
  <si>
    <t>Rev</t>
  </si>
  <si>
    <t>Date</t>
  </si>
  <si>
    <t>Author</t>
  </si>
  <si>
    <t>Part(s)</t>
  </si>
  <si>
    <t>Change Type</t>
  </si>
  <si>
    <t>A</t>
  </si>
  <si>
    <t>2026-03-10</t>
  </si>
  <si>
    <t>Siraal QA</t>
  </si>
  <si>
    <t>ALL</t>
  </si>
  <si>
    <t>Initial Release</t>
  </si>
  <si>
    <t>Gear BOM created: Spur_Gear_3D, Helical_Gear, Ring_Gear_3D, Bevel_Gear, Worm, Worm_Wheel — 21 parts, 6 types</t>
  </si>
  <si>
    <t>Validation Test</t>
  </si>
  <si>
    <t>Z=8 undercut warning case — validator must flag profile shift needed</t>
  </si>
  <si>
    <t>Skip Test</t>
  </si>
  <si>
    <t>Enabled=NO row — engine must skip generation entirely</t>
  </si>
  <si>
    <t>GR-WM-*</t>
  </si>
  <si>
    <t>Worm Pair</t>
  </si>
  <si>
    <t>Worm + Worm Wheel pairs added; module must match within each pair</t>
  </si>
  <si>
    <t>STR-001-FLANGE</t>
  </si>
  <si>
    <t>Flange</t>
  </si>
  <si>
    <t>Motor mount flange with 8x BHC</t>
  </si>
  <si>
    <t>DRV-002-SHAFT</t>
  </si>
  <si>
    <t>Stepped_Shaft</t>
  </si>
  <si>
    <t>Power transmission shaft with keyway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</si>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</sst>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\₹#,##0.00"/>
    <numFmt numFmtId="166" formatCode="#,##0.0"/>
  </numFmts>
  <fonts count="16">
    <font>
      <sz val="11"/>
      <color theme="1"/>
      <name val="Calibri"/>
      <family val="2"/>
      <charset val="1"/>
    </font>
    <font>
      <sz val="9"/>
      <color rgb="FF1B4F72"/>
      <name val="Arial"/>
      <charset val="1"/>
    </font>
    <font>
      <i/>
      <sz val="8"/>
      <color rgb="FF7D6608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1A5276"/>
      <name val="Arial"/>
      <charset val="1"/>
    </font>
    <font>
      <i/>
      <sz val="9"/>
      <color rgb="FF555555"/>
      <name val="Arial"/>
      <charset val="1"/>
    </font>
    <font>
      <b/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8"/>
      <color rgb="FF1F1F1F"/>
      <name val="Arial"/>
      <family val="2"/>
    </font>
    <font>
      <b/>
      <sz val="15"/>
      <color rgb="FFFFFFFF"/>
      <name val="Arial"/>
      <family val="2"/>
    </font>
    <font>
      <b/>
      <sz val="11"/>
      <color rgb="FF1F1F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D6EAF8"/>
        <bgColor rgb="FFD1F2EB"/>
      </patternFill>
    </fill>
    <fill>
      <patternFill patternType="solid">
        <fgColor rgb="FFFFF9C4"/>
        <bgColor rgb="FFFAE5D3"/>
      </patternFill>
    </fill>
    <fill>
      <patternFill patternType="solid">
        <fgColor rgb="FF1B4F72"/>
        <bgColor rgb="FF1A5276"/>
      </patternFill>
    </fill>
    <fill>
      <patternFill patternType="solid">
        <fgColor rgb="FFD5F5E3"/>
        <bgColor rgb="FFD1F2EB"/>
      </patternFill>
    </fill>
    <fill>
      <patternFill patternType="solid">
        <fgColor rgb="FFFAE5D3"/>
        <bgColor rgb="FFEEEEEE"/>
      </patternFill>
    </fill>
    <fill>
      <patternFill patternType="solid">
        <fgColor rgb="FFE8DAEF"/>
        <bgColor rgb="FFEEEEEE"/>
      </patternFill>
    </fill>
    <fill>
      <patternFill patternType="solid">
        <fgColor rgb="FFD1F2EB"/>
        <bgColor rgb="FFD5F5E3"/>
      </patternFill>
    </fill>
    <fill>
      <patternFill patternType="solid">
        <fgColor rgb="FFEEEEEE"/>
        <bgColor rgb="FFF4F6F7"/>
      </patternFill>
    </fill>
    <fill>
      <patternFill patternType="solid">
        <fgColor rgb="FFF4F6F7"/>
        <bgColor rgb="FFEEEEEE"/>
      </patternFill>
    </fill>
    <fill>
      <patternFill patternType="solid">
        <fgColor rgb="FFFFFFFF"/>
        <bgColor rgb="FFF4F6F7"/>
      </patternFill>
    </fill>
  </fills>
  <borders count="4">
    <border>
      <left/>
      <right/>
      <top/>
      <bottom/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164" fontId="6" fillId="6" borderId="2" xfId="0" applyNumberFormat="1" applyFont="1" applyFill="1" applyBorder="1" applyAlignment="1">
      <alignment horizontal="center" vertical="center" wrapText="1"/>
    </xf>
    <xf numFmtId="165" fontId="6" fillId="6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164" fontId="6" fillId="7" borderId="2" xfId="0" applyNumberFormat="1" applyFont="1" applyFill="1" applyBorder="1" applyAlignment="1">
      <alignment horizontal="center" vertical="center" wrapText="1"/>
    </xf>
    <xf numFmtId="165" fontId="6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165" fontId="6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164" fontId="6" fillId="8" borderId="2" xfId="0" applyNumberFormat="1" applyFont="1" applyFill="1" applyBorder="1" applyAlignment="1">
      <alignment horizontal="center" vertical="center" wrapText="1"/>
    </xf>
    <xf numFmtId="165" fontId="6" fillId="8" borderId="2" xfId="0" applyNumberFormat="1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164" fontId="6" fillId="9" borderId="2" xfId="0" applyNumberFormat="1" applyFont="1" applyFill="1" applyBorder="1" applyAlignment="1">
      <alignment horizontal="center" vertical="center" wrapText="1"/>
    </xf>
    <xf numFmtId="165" fontId="6" fillId="9" borderId="2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164" fontId="6" fillId="10" borderId="2" xfId="0" applyNumberFormat="1" applyFont="1" applyFill="1" applyBorder="1" applyAlignment="1">
      <alignment horizontal="center" vertical="center" wrapText="1"/>
    </xf>
    <xf numFmtId="165" fontId="6" fillId="10" borderId="2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2" fontId="4" fillId="11" borderId="2" xfId="0" applyNumberFormat="1" applyFont="1" applyFill="1" applyBorder="1" applyAlignment="1">
      <alignment horizontal="center" vertical="center" wrapText="1"/>
    </xf>
    <xf numFmtId="166" fontId="4" fillId="11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2" fontId="4" fillId="12" borderId="2" xfId="0" applyNumberFormat="1" applyFont="1" applyFill="1" applyBorder="1" applyAlignment="1">
      <alignment horizontal="center" vertical="center" wrapText="1"/>
    </xf>
    <xf numFmtId="166" fontId="4" fillId="12" borderId="2" xfId="0" applyNumberFormat="1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 indent="1" readingOrder="1"/>
    </xf>
    <xf numFmtId="0" fontId="12" fillId="0" borderId="3" xfId="0" applyFont="1" applyBorder="1" applyAlignment="1">
      <alignment horizontal="left" vertical="center" wrapText="1" indent="1" readingOrder="1"/>
    </xf>
    <xf numFmtId="0" fontId="11" fillId="0" borderId="3" xfId="0" applyFont="1" applyBorder="1" applyAlignment="1">
      <alignment vertical="center" wrapText="1" readingOrder="1"/>
    </xf>
    <xf numFmtId="0" fontId="13" fillId="0" borderId="3" xfId="0" applyFont="1" applyBorder="1" applyAlignment="1">
      <alignment horizontal="left" vertical="center" wrapText="1" indent="1" readingOrder="1"/>
    </xf>
    <xf numFmtId="0" fontId="11" fillId="0" borderId="0" xfId="0" applyFont="1" applyAlignment="1">
      <alignment horizontal="left" vertical="center" wrapText="1" indent="1" readingOrder="1"/>
    </xf>
    <xf numFmtId="0" fontId="15" fillId="0" borderId="3" xfId="0" applyFont="1" applyBorder="1" applyAlignment="1">
      <alignment horizontal="left" vertical="center" wrapText="1" indent="1" readingOrder="1"/>
    </xf>
    <xf numFmtId="0" fontId="15" fillId="0" borderId="3" xfId="0" applyFont="1" applyBorder="1" applyAlignment="1">
      <alignment vertical="center" wrapText="1" readingOrder="1"/>
    </xf>
    <xf numFmtId="0" fontId="14" fillId="2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F4F6F7"/>
      <rgbColor rgb="FF808080"/>
      <rgbColor rgb="FF9999FF"/>
      <rgbColor rgb="FF993366"/>
      <rgbColor rgb="FFFFF9C4"/>
      <rgbColor rgb="FFD1F2EB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EEEEEE"/>
      <rgbColor rgb="FF99CCFF"/>
      <rgbColor rgb="FFFF99CC"/>
      <rgbColor rgb="FFCC99FF"/>
      <rgbColor rgb="FFFAE5D3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B4F72"/>
      <rgbColor rgb="FF339966"/>
      <rgbColor rgb="FF0D1B2A"/>
      <rgbColor rgb="FF333300"/>
      <rgbColor rgb="FF993300"/>
      <rgbColor rgb="FF993366"/>
      <rgbColor rgb="FF1A52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showGridLines="0" tabSelected="1" zoomScaleNormal="100" workbookViewId="0">
      <pane ySplit="3" topLeftCell="A4" activePane="bottomLeft" state="frozen"/>
      <selection pane="bottomLeft" activeCell="I7" sqref="I7"/>
    </sheetView>
  </sheetViews>
  <sheetFormatPr defaultColWidth="8.6640625" defaultRowHeight="14.4"/>
  <cols>
    <col min="1" max="1" width="4" customWidth="1"/>
    <col min="2" max="2" width="20" customWidth="1"/>
    <col min="3" max="3" width="31.6640625" customWidth="1"/>
    <col min="4" max="4" width="14" customWidth="1"/>
    <col min="5" max="8" width="9" customWidth="1"/>
    <col min="9" max="9" width="7" customWidth="1"/>
    <col min="10" max="10" width="10" customWidth="1"/>
    <col min="11" max="11" width="8" customWidth="1"/>
    <col min="12" max="12" width="37.21875" customWidth="1"/>
    <col min="13" max="13" width="10" customWidth="1"/>
    <col min="14" max="14" width="12" customWidth="1"/>
    <col min="15" max="15" width="30" customWidth="1"/>
  </cols>
  <sheetData>
    <row r="1" spans="1:15" ht="31.5" customHeight="1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ht="18" customHeight="1">
      <c r="A2" s="71" t="s">
        <v>1</v>
      </c>
      <c r="B2" s="69"/>
      <c r="C2" s="69"/>
      <c r="D2" s="69"/>
      <c r="E2" s="69"/>
      <c r="F2" s="69"/>
      <c r="G2" s="69"/>
      <c r="H2" s="69"/>
      <c r="I2" s="70" t="s">
        <v>2</v>
      </c>
      <c r="J2" s="69"/>
      <c r="K2" s="69"/>
      <c r="L2" s="69"/>
      <c r="M2" s="69"/>
      <c r="N2" s="69"/>
      <c r="O2" s="69"/>
    </row>
    <row r="3" spans="1:15" ht="27.75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 ht="18" customHeight="1">
      <c r="A4" s="2">
        <v>1</v>
      </c>
      <c r="B4" s="3" t="s">
        <v>18</v>
      </c>
      <c r="C4" s="2" t="s">
        <v>19</v>
      </c>
      <c r="D4" s="2" t="s">
        <v>20</v>
      </c>
      <c r="E4" s="2">
        <v>18</v>
      </c>
      <c r="F4" s="2">
        <v>3</v>
      </c>
      <c r="G4" s="2">
        <v>30</v>
      </c>
      <c r="H4" s="2">
        <v>20</v>
      </c>
      <c r="I4" s="2">
        <v>2</v>
      </c>
      <c r="J4" s="2" t="s">
        <v>30</v>
      </c>
      <c r="K4" s="2" t="s">
        <v>22</v>
      </c>
      <c r="L4" s="4" t="s">
        <v>23</v>
      </c>
      <c r="M4" s="5">
        <f>ROUND(PI()*((E4*F4/2+F4)^2-(H4/2)^2)*G4*7.85/1000000000,3)</f>
        <v>1E-3</v>
      </c>
      <c r="N4" s="6">
        <f>ROUND(M4*185,2)</f>
        <v>0.19</v>
      </c>
      <c r="O4" s="7" t="s">
        <v>24</v>
      </c>
    </row>
    <row r="5" spans="1:15" ht="18" customHeight="1" thickBot="1">
      <c r="A5" s="2">
        <v>2</v>
      </c>
      <c r="B5" s="3" t="s">
        <v>25</v>
      </c>
      <c r="C5" s="2" t="s">
        <v>19</v>
      </c>
      <c r="D5" s="2" t="s">
        <v>26</v>
      </c>
      <c r="E5" s="2">
        <v>54</v>
      </c>
      <c r="F5" s="2">
        <v>4</v>
      </c>
      <c r="G5" s="2">
        <v>30</v>
      </c>
      <c r="H5" s="2">
        <v>40</v>
      </c>
      <c r="I5" s="2">
        <v>1</v>
      </c>
      <c r="J5" s="2" t="s">
        <v>21</v>
      </c>
      <c r="K5" s="2" t="s">
        <v>22</v>
      </c>
      <c r="L5" s="4" t="s">
        <v>27</v>
      </c>
      <c r="M5" s="5">
        <f>ROUND(PI()*((E5*F5/2+F5)^2-(H5/2)^2)*G5*7.87/1000000000,3)</f>
        <v>8.9999999999999993E-3</v>
      </c>
      <c r="N5" s="6">
        <f>ROUND(M5*125,2)</f>
        <v>1.1299999999999999</v>
      </c>
      <c r="O5" s="7" t="s">
        <v>28</v>
      </c>
    </row>
    <row r="6" spans="1:15" ht="18" customHeight="1" thickBot="1">
      <c r="A6" s="61">
        <v>3</v>
      </c>
      <c r="B6" s="64" t="s">
        <v>137</v>
      </c>
      <c r="C6" s="62" t="s">
        <v>138</v>
      </c>
      <c r="D6" s="61" t="s">
        <v>29</v>
      </c>
      <c r="E6" s="61">
        <v>150</v>
      </c>
      <c r="F6" s="61">
        <v>60</v>
      </c>
      <c r="G6" s="61">
        <v>15</v>
      </c>
      <c r="H6" s="61">
        <v>8</v>
      </c>
      <c r="I6" s="61">
        <v>2</v>
      </c>
      <c r="J6" s="61" t="s">
        <v>143</v>
      </c>
      <c r="K6" s="61" t="s">
        <v>22</v>
      </c>
      <c r="L6" s="63" t="s">
        <v>139</v>
      </c>
      <c r="M6" s="5"/>
      <c r="N6" s="6"/>
      <c r="O6" s="7"/>
    </row>
    <row r="7" spans="1:15" ht="18" customHeight="1" thickBot="1">
      <c r="A7" s="61">
        <v>4</v>
      </c>
      <c r="B7" s="64" t="s">
        <v>140</v>
      </c>
      <c r="C7" s="62" t="s">
        <v>141</v>
      </c>
      <c r="D7" s="61" t="s">
        <v>20</v>
      </c>
      <c r="E7" s="61">
        <v>40</v>
      </c>
      <c r="F7" s="61">
        <v>120</v>
      </c>
      <c r="G7" s="61">
        <v>25</v>
      </c>
      <c r="H7" s="61">
        <v>30</v>
      </c>
      <c r="I7" s="61">
        <v>1</v>
      </c>
      <c r="J7" s="61" t="s">
        <v>21</v>
      </c>
      <c r="K7" s="61" t="s">
        <v>22</v>
      </c>
      <c r="L7" s="63" t="s">
        <v>142</v>
      </c>
      <c r="M7" s="5"/>
      <c r="N7" s="6"/>
      <c r="O7" s="7"/>
    </row>
    <row r="8" spans="1:15" ht="18" customHeight="1" thickBot="1">
      <c r="A8" s="61"/>
      <c r="B8" s="64"/>
      <c r="C8" s="62"/>
      <c r="D8" s="61"/>
      <c r="E8" s="61"/>
      <c r="F8" s="61"/>
      <c r="G8" s="61"/>
      <c r="H8" s="63"/>
      <c r="I8" s="61"/>
      <c r="J8" s="61"/>
      <c r="K8" s="61"/>
      <c r="L8" s="63"/>
      <c r="M8" s="5"/>
      <c r="N8" s="6"/>
      <c r="O8" s="7"/>
    </row>
    <row r="9" spans="1:15" ht="18" customHeight="1" thickBot="1">
      <c r="A9" s="65"/>
      <c r="D9" s="61"/>
      <c r="E9" s="65"/>
      <c r="F9" s="65"/>
      <c r="G9" s="65"/>
      <c r="H9" s="65"/>
      <c r="I9" s="65"/>
      <c r="J9" s="65"/>
      <c r="K9" s="65"/>
      <c r="M9" s="11"/>
      <c r="N9" s="12"/>
      <c r="O9" s="13"/>
    </row>
    <row r="10" spans="1:15" ht="18" customHeight="1" thickBot="1">
      <c r="A10" s="8"/>
      <c r="B10" s="9"/>
      <c r="C10" s="66"/>
      <c r="D10" s="66"/>
      <c r="E10" s="66"/>
      <c r="F10" s="66"/>
      <c r="G10" s="67"/>
      <c r="H10" s="8"/>
      <c r="I10" s="8"/>
      <c r="J10" s="8"/>
      <c r="K10" s="8"/>
      <c r="L10" s="10"/>
      <c r="M10" s="11"/>
      <c r="N10" s="12"/>
      <c r="O10" s="13"/>
    </row>
    <row r="11" spans="1:15" ht="18" customHeight="1" thickBot="1">
      <c r="A11" s="8"/>
      <c r="B11" s="9"/>
      <c r="G11" s="63"/>
      <c r="H11" s="8"/>
      <c r="I11" s="8"/>
      <c r="J11" s="8"/>
      <c r="K11" s="8"/>
      <c r="L11" s="10"/>
      <c r="M11" s="11"/>
      <c r="N11" s="12"/>
      <c r="O11" s="13"/>
    </row>
    <row r="12" spans="1:15" ht="18" customHeight="1">
      <c r="A12" s="8"/>
      <c r="B12" s="9"/>
      <c r="C12" s="8"/>
      <c r="D12" s="8"/>
      <c r="E12" s="8"/>
      <c r="F12" s="8"/>
      <c r="G12" s="8"/>
      <c r="H12" s="8"/>
      <c r="I12" s="8"/>
      <c r="J12" s="8"/>
      <c r="K12" s="8"/>
      <c r="L12" s="10"/>
      <c r="M12" s="11"/>
      <c r="N12" s="12"/>
      <c r="O12" s="13"/>
    </row>
    <row r="13" spans="1:15" ht="18" customHeight="1">
      <c r="A13" s="14"/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6"/>
      <c r="M13" s="17"/>
      <c r="N13" s="18"/>
      <c r="O13" s="19"/>
    </row>
    <row r="14" spans="1:15" ht="18" customHeight="1">
      <c r="A14" s="14"/>
      <c r="B14" s="15"/>
      <c r="C14" s="14"/>
      <c r="D14" s="14"/>
      <c r="E14" s="14"/>
      <c r="F14" s="14"/>
      <c r="G14" s="14"/>
      <c r="H14" s="14"/>
      <c r="I14" s="14"/>
      <c r="J14" s="14"/>
      <c r="K14" s="14"/>
      <c r="L14" s="16"/>
      <c r="M14" s="17"/>
      <c r="N14" s="18"/>
      <c r="O14" s="19"/>
    </row>
    <row r="15" spans="1:15" ht="18" customHeight="1">
      <c r="A15" s="14"/>
      <c r="B15" s="15"/>
      <c r="C15" s="14"/>
      <c r="D15" s="14"/>
      <c r="E15" s="14"/>
      <c r="F15" s="14"/>
      <c r="G15" s="14"/>
      <c r="H15" s="14"/>
      <c r="I15" s="14"/>
      <c r="J15" s="14"/>
      <c r="K15" s="14"/>
      <c r="L15" s="16"/>
      <c r="M15" s="17"/>
      <c r="N15" s="18"/>
      <c r="O15" s="19"/>
    </row>
    <row r="16" spans="1:15" ht="18" customHeight="1">
      <c r="A16" s="20"/>
      <c r="B16" s="21"/>
      <c r="C16" s="20"/>
      <c r="D16" s="20"/>
      <c r="E16" s="20"/>
      <c r="F16" s="20"/>
      <c r="G16" s="20"/>
      <c r="H16" s="20"/>
      <c r="I16" s="20"/>
      <c r="J16" s="20"/>
      <c r="K16" s="20"/>
      <c r="L16" s="22"/>
      <c r="M16" s="23"/>
      <c r="N16" s="24"/>
      <c r="O16" s="25"/>
    </row>
    <row r="17" spans="1:15" ht="18" customHeight="1">
      <c r="A17" s="20"/>
      <c r="B17" s="21"/>
      <c r="C17" s="20"/>
      <c r="D17" s="20"/>
      <c r="E17" s="20"/>
      <c r="F17" s="20"/>
      <c r="G17" s="20"/>
      <c r="H17" s="20"/>
      <c r="I17" s="20"/>
      <c r="J17" s="20"/>
      <c r="K17" s="20"/>
      <c r="L17" s="22"/>
      <c r="M17" s="23"/>
      <c r="N17" s="24"/>
      <c r="O17" s="25"/>
    </row>
    <row r="18" spans="1:15" ht="18" customHeight="1">
      <c r="A18" s="20"/>
      <c r="B18" s="21"/>
      <c r="C18" s="20"/>
      <c r="D18" s="20"/>
      <c r="E18" s="20"/>
      <c r="F18" s="20"/>
      <c r="G18" s="20"/>
      <c r="H18" s="20"/>
      <c r="I18" s="20"/>
      <c r="J18" s="20"/>
      <c r="K18" s="20"/>
      <c r="L18" s="22"/>
      <c r="M18" s="23"/>
      <c r="N18" s="24"/>
      <c r="O18" s="25"/>
    </row>
    <row r="19" spans="1:15" ht="18" customHeight="1">
      <c r="A19" s="26"/>
      <c r="B19" s="27"/>
      <c r="C19" s="26"/>
      <c r="D19" s="26"/>
      <c r="E19" s="26"/>
      <c r="F19" s="26"/>
      <c r="G19" s="26"/>
      <c r="H19" s="26"/>
      <c r="I19" s="26"/>
      <c r="J19" s="26"/>
      <c r="K19" s="26"/>
      <c r="L19" s="28"/>
      <c r="M19" s="29"/>
      <c r="N19" s="30"/>
      <c r="O19" s="31"/>
    </row>
    <row r="20" spans="1:15" ht="18" customHeight="1">
      <c r="A20" s="32"/>
      <c r="B20" s="33"/>
      <c r="C20" s="32"/>
      <c r="D20" s="32"/>
      <c r="E20" s="32"/>
      <c r="F20" s="32"/>
      <c r="G20" s="32"/>
      <c r="H20" s="32"/>
      <c r="I20" s="32"/>
      <c r="J20" s="32"/>
      <c r="K20" s="32"/>
      <c r="L20" s="34"/>
      <c r="M20" s="35"/>
      <c r="N20" s="36"/>
      <c r="O20" s="37"/>
    </row>
    <row r="21" spans="1:15" ht="18" customHeight="1">
      <c r="A21" s="26"/>
      <c r="B21" s="27"/>
      <c r="C21" s="26"/>
      <c r="D21" s="26"/>
      <c r="E21" s="26"/>
      <c r="F21" s="26"/>
      <c r="G21" s="26"/>
      <c r="H21" s="26"/>
      <c r="I21" s="26"/>
      <c r="J21" s="26"/>
      <c r="K21" s="26"/>
      <c r="L21" s="28"/>
      <c r="M21" s="29"/>
      <c r="N21" s="30"/>
      <c r="O21" s="31"/>
    </row>
    <row r="22" spans="1:15" ht="18" customHeight="1">
      <c r="A22" s="32"/>
      <c r="B22" s="33"/>
      <c r="C22" s="32"/>
      <c r="D22" s="32"/>
      <c r="E22" s="32"/>
      <c r="F22" s="32"/>
      <c r="G22" s="32"/>
      <c r="H22" s="32"/>
      <c r="I22" s="32"/>
      <c r="J22" s="32"/>
      <c r="K22" s="32"/>
      <c r="L22" s="34"/>
      <c r="M22" s="35"/>
      <c r="N22" s="36"/>
      <c r="O22" s="37"/>
    </row>
    <row r="23" spans="1:15" ht="18" customHeight="1">
      <c r="A23" s="2"/>
      <c r="B23" s="3"/>
      <c r="C23" s="2"/>
      <c r="D23" s="2"/>
      <c r="E23" s="2"/>
      <c r="F23" s="2"/>
      <c r="G23" s="2"/>
      <c r="H23" s="2"/>
      <c r="I23" s="2"/>
      <c r="J23" s="2"/>
      <c r="K23" s="2"/>
      <c r="L23" s="4"/>
      <c r="M23" s="5"/>
      <c r="N23" s="6"/>
      <c r="O23" s="7"/>
    </row>
    <row r="24" spans="1:15" ht="18" customHeight="1">
      <c r="A24" s="38"/>
      <c r="B24" s="39"/>
      <c r="C24" s="38"/>
      <c r="D24" s="38"/>
      <c r="E24" s="38"/>
      <c r="F24" s="38"/>
      <c r="G24" s="38"/>
      <c r="H24" s="38"/>
      <c r="I24" s="38"/>
      <c r="J24" s="38"/>
      <c r="K24" s="38"/>
      <c r="L24" s="40"/>
      <c r="M24" s="41"/>
      <c r="N24" s="42"/>
      <c r="O24" s="40"/>
    </row>
    <row r="25" spans="1:15" ht="21.75" customHeight="1">
      <c r="A25" s="72" t="s">
        <v>47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43">
        <f>SUM(M4:M24)</f>
        <v>9.9999999999999985E-3</v>
      </c>
      <c r="N25" s="44">
        <f>SUM(N4:N24)</f>
        <v>1.3199999999999998</v>
      </c>
    </row>
  </sheetData>
  <mergeCells count="4">
    <mergeCell ref="A1:O1"/>
    <mergeCell ref="I2:O2"/>
    <mergeCell ref="A2:H2"/>
    <mergeCell ref="A25:L25"/>
  </mergeCells>
  <dataValidations count="4">
    <dataValidation type="list" sqref="C4:C5 C12:C24" xr:uid="{00000000-0002-0000-0000-000000000000}">
      <formula1>"Spur_Gear_3D,Helical_Gear,Ring_Gear_3D,Bevel_Gear,Worm,Worm_Wheel"</formula1>
      <formula2>0</formula2>
    </dataValidation>
    <dataValidation type="list" sqref="D4:D5 D12:D24" xr:uid="{00000000-0002-0000-0000-000001000000}">
      <formula1>"Steel-1020,Steel-4140,Al-6061,Brass-C360,Nylon-66"</formula1>
      <formula2>0</formula2>
    </dataValidation>
    <dataValidation type="list" sqref="J4:J5 J10:J24" xr:uid="{00000000-0002-0000-0000-000002000000}">
      <formula1>"High,Medium,Low"</formula1>
      <formula2>0</formula2>
    </dataValidation>
    <dataValidation type="list" sqref="K4:K5 K10:K24" xr:uid="{00000000-0002-0000-0000-000003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showGridLines="0" zoomScaleNormal="100" workbookViewId="0">
      <selection sqref="A1:H1"/>
    </sheetView>
  </sheetViews>
  <sheetFormatPr defaultColWidth="8.6640625" defaultRowHeight="14.4"/>
  <cols>
    <col min="1" max="1" width="18" customWidth="1"/>
    <col min="2" max="5" width="14" customWidth="1"/>
    <col min="6" max="6" width="16" customWidth="1"/>
    <col min="7" max="7" width="28" customWidth="1"/>
    <col min="8" max="8" width="32" customWidth="1"/>
  </cols>
  <sheetData>
    <row r="1" spans="1:8" ht="27.75" customHeight="1">
      <c r="A1" s="73" t="s">
        <v>48</v>
      </c>
      <c r="B1" s="69"/>
      <c r="C1" s="69"/>
      <c r="D1" s="69"/>
      <c r="E1" s="69"/>
      <c r="F1" s="69"/>
      <c r="G1" s="69"/>
      <c r="H1" s="69"/>
    </row>
    <row r="2" spans="1:8" ht="24" customHeight="1">
      <c r="A2" s="1" t="s">
        <v>5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</row>
    <row r="3" spans="1:8" ht="43.5" customHeight="1">
      <c r="A3" s="45" t="s">
        <v>19</v>
      </c>
      <c r="B3" s="2" t="s">
        <v>56</v>
      </c>
      <c r="C3" s="2" t="s">
        <v>57</v>
      </c>
      <c r="D3" s="2" t="s">
        <v>58</v>
      </c>
      <c r="E3" s="2" t="s">
        <v>59</v>
      </c>
      <c r="F3" s="4" t="s">
        <v>60</v>
      </c>
      <c r="G3" s="4" t="s">
        <v>61</v>
      </c>
      <c r="H3" s="4" t="s">
        <v>62</v>
      </c>
    </row>
    <row r="4" spans="1:8" ht="43.5" customHeight="1">
      <c r="A4" s="46" t="s">
        <v>32</v>
      </c>
      <c r="B4" s="8" t="s">
        <v>56</v>
      </c>
      <c r="C4" s="8" t="s">
        <v>57</v>
      </c>
      <c r="D4" s="8" t="s">
        <v>58</v>
      </c>
      <c r="E4" s="8" t="s">
        <v>59</v>
      </c>
      <c r="F4" s="10" t="s">
        <v>63</v>
      </c>
      <c r="G4" s="10" t="s">
        <v>64</v>
      </c>
      <c r="H4" s="10" t="s">
        <v>65</v>
      </c>
    </row>
    <row r="5" spans="1:8" ht="43.5" customHeight="1">
      <c r="A5" s="47" t="s">
        <v>35</v>
      </c>
      <c r="B5" s="14" t="s">
        <v>66</v>
      </c>
      <c r="C5" s="14" t="s">
        <v>57</v>
      </c>
      <c r="D5" s="14" t="s">
        <v>58</v>
      </c>
      <c r="E5" s="14" t="s">
        <v>67</v>
      </c>
      <c r="F5" s="16" t="s">
        <v>68</v>
      </c>
      <c r="G5" s="16" t="s">
        <v>69</v>
      </c>
      <c r="H5" s="16" t="s">
        <v>70</v>
      </c>
    </row>
    <row r="6" spans="1:8" ht="43.5" customHeight="1">
      <c r="A6" s="48" t="s">
        <v>37</v>
      </c>
      <c r="B6" s="20" t="s">
        <v>56</v>
      </c>
      <c r="C6" s="20" t="s">
        <v>57</v>
      </c>
      <c r="D6" s="20" t="s">
        <v>58</v>
      </c>
      <c r="E6" s="20" t="s">
        <v>59</v>
      </c>
      <c r="F6" s="22" t="s">
        <v>71</v>
      </c>
      <c r="G6" s="22" t="s">
        <v>72</v>
      </c>
      <c r="H6" s="22" t="s">
        <v>73</v>
      </c>
    </row>
    <row r="7" spans="1:8" ht="43.5" customHeight="1">
      <c r="A7" s="49" t="s">
        <v>39</v>
      </c>
      <c r="B7" s="26" t="s">
        <v>74</v>
      </c>
      <c r="C7" s="26" t="s">
        <v>57</v>
      </c>
      <c r="D7" s="26" t="s">
        <v>75</v>
      </c>
      <c r="E7" s="26" t="s">
        <v>59</v>
      </c>
      <c r="F7" s="28" t="s">
        <v>76</v>
      </c>
      <c r="G7" s="28" t="s">
        <v>77</v>
      </c>
      <c r="H7" s="28" t="s">
        <v>78</v>
      </c>
    </row>
    <row r="8" spans="1:8" ht="43.5" customHeight="1">
      <c r="A8" s="50" t="s">
        <v>41</v>
      </c>
      <c r="B8" s="32" t="s">
        <v>56</v>
      </c>
      <c r="C8" s="32" t="s">
        <v>57</v>
      </c>
      <c r="D8" s="32" t="s">
        <v>58</v>
      </c>
      <c r="E8" s="32" t="s">
        <v>59</v>
      </c>
      <c r="F8" s="34" t="s">
        <v>76</v>
      </c>
      <c r="G8" s="34" t="s">
        <v>79</v>
      </c>
      <c r="H8" s="34" t="s">
        <v>80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showGridLines="0" zoomScaleNormal="100" workbookViewId="0">
      <selection sqref="A1:H1"/>
    </sheetView>
  </sheetViews>
  <sheetFormatPr defaultColWidth="8.6640625" defaultRowHeight="14.4"/>
  <cols>
    <col min="1" max="1" width="5" customWidth="1"/>
    <col min="2" max="3" width="22" customWidth="1"/>
    <col min="4" max="5" width="8" customWidth="1"/>
    <col min="6" max="6" width="12" customWidth="1"/>
    <col min="7" max="7" width="16" customWidth="1"/>
    <col min="8" max="8" width="28" customWidth="1"/>
  </cols>
  <sheetData>
    <row r="1" spans="1:8" ht="25.5" customHeight="1">
      <c r="A1" s="73" t="s">
        <v>81</v>
      </c>
      <c r="B1" s="69"/>
      <c r="C1" s="69"/>
      <c r="D1" s="69"/>
      <c r="E1" s="69"/>
      <c r="F1" s="69"/>
      <c r="G1" s="69"/>
      <c r="H1" s="69"/>
    </row>
    <row r="2" spans="1:8" ht="15" customHeight="1">
      <c r="A2" s="1" t="s">
        <v>82</v>
      </c>
      <c r="B2" s="1" t="s">
        <v>83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17</v>
      </c>
    </row>
    <row r="3" spans="1:8" ht="18" customHeight="1">
      <c r="A3" s="51">
        <v>1</v>
      </c>
      <c r="B3" s="51" t="s">
        <v>18</v>
      </c>
      <c r="C3" s="51" t="s">
        <v>25</v>
      </c>
      <c r="D3" s="51">
        <v>18</v>
      </c>
      <c r="E3" s="51">
        <v>54</v>
      </c>
      <c r="F3" s="52">
        <f>E3/D3</f>
        <v>3</v>
      </c>
      <c r="G3" s="53">
        <f>(D3+E3)*3/2</f>
        <v>108</v>
      </c>
      <c r="H3" s="51" t="s">
        <v>89</v>
      </c>
    </row>
    <row r="4" spans="1:8" ht="18" customHeight="1">
      <c r="A4" s="54">
        <v>2</v>
      </c>
      <c r="B4" s="54" t="s">
        <v>31</v>
      </c>
      <c r="C4" s="54" t="s">
        <v>33</v>
      </c>
      <c r="D4" s="54">
        <v>20</v>
      </c>
      <c r="E4" s="54">
        <v>60</v>
      </c>
      <c r="F4" s="55">
        <f>E4/D4</f>
        <v>3</v>
      </c>
      <c r="G4" s="56">
        <f>(D4+E4)*3/2</f>
        <v>120</v>
      </c>
      <c r="H4" s="54" t="s">
        <v>90</v>
      </c>
    </row>
    <row r="5" spans="1:8" ht="18" customHeight="1">
      <c r="A5" s="51">
        <v>3</v>
      </c>
      <c r="B5" s="51" t="s">
        <v>34</v>
      </c>
      <c r="C5" s="51" t="s">
        <v>18</v>
      </c>
      <c r="D5" s="51">
        <v>72</v>
      </c>
      <c r="E5" s="51">
        <v>18</v>
      </c>
      <c r="F5" s="52">
        <f>D5/E5</f>
        <v>4</v>
      </c>
      <c r="G5" s="53">
        <f>(D5-E5)*3/2</f>
        <v>81</v>
      </c>
      <c r="H5" s="51" t="s">
        <v>91</v>
      </c>
    </row>
    <row r="6" spans="1:8" ht="18" customHeight="1">
      <c r="A6" s="54">
        <v>4</v>
      </c>
      <c r="B6" s="54" t="s">
        <v>36</v>
      </c>
      <c r="C6" s="54" t="s">
        <v>36</v>
      </c>
      <c r="D6" s="54">
        <v>20</v>
      </c>
      <c r="E6" s="54">
        <v>20</v>
      </c>
      <c r="F6" s="54" t="s">
        <v>92</v>
      </c>
      <c r="G6" s="54" t="s">
        <v>93</v>
      </c>
      <c r="H6" s="54" t="s">
        <v>94</v>
      </c>
    </row>
    <row r="7" spans="1:8" ht="18" customHeight="1">
      <c r="A7" s="51">
        <v>5</v>
      </c>
      <c r="B7" s="51" t="s">
        <v>38</v>
      </c>
      <c r="C7" s="51" t="s">
        <v>40</v>
      </c>
      <c r="D7" s="51">
        <v>2</v>
      </c>
      <c r="E7" s="51">
        <v>30</v>
      </c>
      <c r="F7" s="52">
        <f>E7/D7</f>
        <v>15</v>
      </c>
      <c r="G7" s="53">
        <f>(D7+E7)*4/2</f>
        <v>64</v>
      </c>
      <c r="H7" s="51" t="s">
        <v>95</v>
      </c>
    </row>
    <row r="8" spans="1:8" ht="18" customHeight="1">
      <c r="A8" s="54">
        <v>6</v>
      </c>
      <c r="B8" s="54" t="s">
        <v>43</v>
      </c>
      <c r="C8" s="54" t="s">
        <v>44</v>
      </c>
      <c r="D8" s="54">
        <v>1</v>
      </c>
      <c r="E8" s="54">
        <v>40</v>
      </c>
      <c r="F8" s="55">
        <f>E8/D8</f>
        <v>40</v>
      </c>
      <c r="G8" s="56">
        <f>(D8+E8)*3/2</f>
        <v>61.5</v>
      </c>
      <c r="H8" s="54" t="s">
        <v>96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showGridLines="0" zoomScaleNormal="100" workbookViewId="0">
      <selection sqref="A1:H1"/>
    </sheetView>
  </sheetViews>
  <sheetFormatPr defaultColWidth="8.6640625" defaultRowHeight="14.4"/>
  <cols>
    <col min="1" max="1" width="14" customWidth="1"/>
    <col min="2" max="4" width="10" customWidth="1"/>
    <col min="5" max="5" width="12" customWidth="1"/>
    <col min="6" max="6" width="14" customWidth="1"/>
    <col min="7" max="7" width="20" customWidth="1"/>
    <col min="8" max="8" width="30" customWidth="1"/>
  </cols>
  <sheetData>
    <row r="1" spans="1:8" ht="25.5" customHeight="1">
      <c r="A1" s="73" t="s">
        <v>97</v>
      </c>
      <c r="B1" s="69"/>
      <c r="C1" s="69"/>
      <c r="D1" s="69"/>
      <c r="E1" s="69"/>
      <c r="F1" s="69"/>
      <c r="G1" s="69"/>
      <c r="H1" s="69"/>
    </row>
    <row r="2" spans="1:8" ht="22.35" customHeight="1">
      <c r="A2" s="1" t="s">
        <v>98</v>
      </c>
      <c r="B2" s="1" t="s">
        <v>99</v>
      </c>
      <c r="C2" s="1" t="s">
        <v>100</v>
      </c>
      <c r="D2" s="1" t="s">
        <v>101</v>
      </c>
      <c r="E2" s="1" t="s">
        <v>102</v>
      </c>
      <c r="F2" s="1" t="s">
        <v>103</v>
      </c>
      <c r="G2" s="1" t="s">
        <v>104</v>
      </c>
      <c r="H2" s="1" t="s">
        <v>17</v>
      </c>
    </row>
    <row r="3" spans="1:8" ht="21.75" customHeight="1">
      <c r="A3" s="57" t="s">
        <v>26</v>
      </c>
      <c r="B3" s="51">
        <v>7.87</v>
      </c>
      <c r="C3" s="51">
        <v>420</v>
      </c>
      <c r="D3" s="51">
        <v>350</v>
      </c>
      <c r="E3" s="51">
        <v>125</v>
      </c>
      <c r="F3" s="51" t="s">
        <v>105</v>
      </c>
      <c r="G3" s="58" t="s">
        <v>106</v>
      </c>
      <c r="H3" s="58" t="s">
        <v>107</v>
      </c>
    </row>
    <row r="4" spans="1:8" ht="21.75" customHeight="1">
      <c r="A4" s="59" t="s">
        <v>20</v>
      </c>
      <c r="B4" s="54">
        <v>7.85</v>
      </c>
      <c r="C4" s="54">
        <v>1000</v>
      </c>
      <c r="D4" s="54">
        <v>850</v>
      </c>
      <c r="E4" s="54">
        <v>185</v>
      </c>
      <c r="F4" s="54" t="s">
        <v>108</v>
      </c>
      <c r="G4" s="60" t="s">
        <v>109</v>
      </c>
      <c r="H4" s="60" t="s">
        <v>110</v>
      </c>
    </row>
    <row r="5" spans="1:8" ht="21.75" customHeight="1">
      <c r="A5" s="57" t="s">
        <v>29</v>
      </c>
      <c r="B5" s="51">
        <v>2.7</v>
      </c>
      <c r="C5" s="51">
        <v>310</v>
      </c>
      <c r="D5" s="51">
        <v>276</v>
      </c>
      <c r="E5" s="51">
        <v>265</v>
      </c>
      <c r="F5" s="51" t="s">
        <v>105</v>
      </c>
      <c r="G5" s="58" t="s">
        <v>111</v>
      </c>
      <c r="H5" s="58" t="s">
        <v>112</v>
      </c>
    </row>
    <row r="6" spans="1:8" ht="21.75" customHeight="1">
      <c r="A6" s="59" t="s">
        <v>42</v>
      </c>
      <c r="B6" s="54">
        <v>8.5</v>
      </c>
      <c r="C6" s="54">
        <v>360</v>
      </c>
      <c r="D6" s="54">
        <v>310</v>
      </c>
      <c r="E6" s="54">
        <v>520</v>
      </c>
      <c r="F6" s="54" t="s">
        <v>105</v>
      </c>
      <c r="G6" s="60" t="s">
        <v>113</v>
      </c>
      <c r="H6" s="60" t="s">
        <v>114</v>
      </c>
    </row>
    <row r="7" spans="1:8" ht="21.75" customHeight="1">
      <c r="A7" s="57" t="s">
        <v>115</v>
      </c>
      <c r="B7" s="51">
        <v>1.1399999999999999</v>
      </c>
      <c r="C7" s="51">
        <v>82</v>
      </c>
      <c r="D7" s="51">
        <v>82</v>
      </c>
      <c r="E7" s="51">
        <v>415</v>
      </c>
      <c r="F7" s="51" t="s">
        <v>105</v>
      </c>
      <c r="G7" s="58" t="s">
        <v>116</v>
      </c>
      <c r="H7" s="58" t="s">
        <v>117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showGridLines="0" zoomScaleNormal="100" workbookViewId="0">
      <selection sqref="A1:F1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20" customWidth="1"/>
    <col min="5" max="5" width="16" customWidth="1"/>
    <col min="6" max="6" width="40" customWidth="1"/>
  </cols>
  <sheetData>
    <row r="1" spans="1:6" ht="25.5" customHeight="1">
      <c r="A1" s="73" t="s">
        <v>118</v>
      </c>
      <c r="B1" s="69"/>
      <c r="C1" s="69"/>
      <c r="D1" s="69"/>
      <c r="E1" s="69"/>
      <c r="F1" s="69"/>
    </row>
    <row r="2" spans="1:6" ht="15" customHeight="1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14</v>
      </c>
    </row>
    <row r="3" spans="1:6" ht="21.75" customHeight="1">
      <c r="A3" s="51" t="s">
        <v>124</v>
      </c>
      <c r="B3" s="51" t="s">
        <v>125</v>
      </c>
      <c r="C3" s="51" t="s">
        <v>126</v>
      </c>
      <c r="D3" s="51" t="s">
        <v>127</v>
      </c>
      <c r="E3" s="51" t="s">
        <v>128</v>
      </c>
      <c r="F3" s="58" t="s">
        <v>129</v>
      </c>
    </row>
    <row r="4" spans="1:6" ht="21.75" customHeight="1">
      <c r="A4" s="54" t="s">
        <v>124</v>
      </c>
      <c r="B4" s="54" t="s">
        <v>125</v>
      </c>
      <c r="C4" s="54" t="s">
        <v>126</v>
      </c>
      <c r="D4" s="54" t="s">
        <v>45</v>
      </c>
      <c r="E4" s="54" t="s">
        <v>130</v>
      </c>
      <c r="F4" s="60" t="s">
        <v>131</v>
      </c>
    </row>
    <row r="5" spans="1:6" ht="21.75" customHeight="1">
      <c r="A5" s="51" t="s">
        <v>124</v>
      </c>
      <c r="B5" s="51" t="s">
        <v>125</v>
      </c>
      <c r="C5" s="51" t="s">
        <v>126</v>
      </c>
      <c r="D5" s="51" t="s">
        <v>46</v>
      </c>
      <c r="E5" s="51" t="s">
        <v>132</v>
      </c>
      <c r="F5" s="58" t="s">
        <v>133</v>
      </c>
    </row>
    <row r="6" spans="1:6" ht="21.75" customHeight="1">
      <c r="A6" s="54" t="s">
        <v>124</v>
      </c>
      <c r="B6" s="54" t="s">
        <v>125</v>
      </c>
      <c r="C6" s="54" t="s">
        <v>126</v>
      </c>
      <c r="D6" s="54" t="s">
        <v>134</v>
      </c>
      <c r="E6" s="54" t="s">
        <v>135</v>
      </c>
      <c r="F6" s="60" t="s">
        <v>136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BOM_Gears</vt:lpstr>
      <vt:lpstr>GearTypes</vt:lpstr>
      <vt:lpstr>GearPairings</vt:lpstr>
      <vt:lpstr>Materials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Swaksha R</cp:lastModifiedBy>
  <cp:revision>0</cp:revision>
  <dcterms:created xsi:type="dcterms:W3CDTF">2026-03-10T15:05:30Z</dcterms:created>
  <dcterms:modified xsi:type="dcterms:W3CDTF">2026-03-12T17:02:39Z</dcterms:modified>
  <dc:language>en-US</dc:language>
</cp:coreProperties>
</file>